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727" codeName="{9351B8E1-9728-8E5E-8161-817DCB669FF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I love study\GRE\"/>
    </mc:Choice>
  </mc:AlternateContent>
  <xr:revisionPtr revIDLastSave="0" documentId="13_ncr:1_{DF3F573E-A4C5-47BA-A30E-DDF9382C11BC}" xr6:coauthVersionLast="43" xr6:coauthVersionMax="43" xr10:uidLastSave="{00000000-0000-0000-0000-000000000000}"/>
  <bookViews>
    <workbookView xWindow="-120" yWindow="-120" windowWidth="29040" windowHeight="15840" firstSheet="1" activeTab="3" xr2:uid="{00000000-000D-0000-FFFF-FFFF00000000}"/>
  </bookViews>
  <sheets>
    <sheet name="Chart1" sheetId="4" state="hidden" r:id="rId1"/>
    <sheet name="Overview" sheetId="11" r:id="rId2"/>
    <sheet name="Sheet1" sheetId="1" r:id="rId3"/>
    <sheet name="Sheet2" sheetId="8" r:id="rId4"/>
    <sheet name="Sheet3" sheetId="7" r:id="rId5"/>
    <sheet name="Sheet4" sheetId="9" r:id="rId6"/>
    <sheet name="Sheet5" sheetId="6" r:id="rId7"/>
    <sheet name="Sheet6" sheetId="10" r:id="rId8"/>
  </sheets>
  <functionGroups builtInGroupCount="19"/>
  <definedNames>
    <definedName name="_xlnm._FilterDatabase" localSheetId="6" hidden="1">Sheet5!$D$1:$F$5</definedName>
    <definedName name="工作表">GET.WORKBOOK(1)&amp;T(RAND())</definedName>
  </definedNames>
  <calcPr calcId="181029" calcMode="autoNoTable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B7" i="10" l="1"/>
  <c r="B7" i="1"/>
  <c r="B1" i="10"/>
  <c r="B3" i="10"/>
  <c r="B2" i="10"/>
  <c r="B3" i="1"/>
  <c r="B1" i="1"/>
  <c r="B2" i="1"/>
  <c r="B7" i="6" l="1"/>
  <c r="B7" i="9"/>
  <c r="B7" i="7"/>
  <c r="B7" i="8"/>
  <c r="B1" i="7"/>
  <c r="B3" i="7"/>
  <c r="B2" i="7"/>
  <c r="B3" i="9"/>
  <c r="B1" i="9"/>
  <c r="B2" i="9"/>
  <c r="B1" i="6"/>
  <c r="B2" i="6"/>
  <c r="B3" i="6"/>
  <c r="B1" i="8"/>
  <c r="B3" i="8"/>
  <c r="B2" i="8"/>
  <c r="B4" i="1" l="1"/>
  <c r="C8" i="11"/>
  <c r="I8" i="11" s="1"/>
  <c r="E10" i="11"/>
  <c r="C9" i="11"/>
  <c r="I9" i="11" s="1"/>
  <c r="D9" i="11"/>
  <c r="E9" i="11"/>
  <c r="C10" i="11"/>
  <c r="I10" i="11" s="1"/>
  <c r="D10" i="11"/>
  <c r="E8" i="11"/>
  <c r="D8" i="11"/>
  <c r="C7" i="11"/>
  <c r="E7" i="11"/>
  <c r="D7" i="11"/>
  <c r="D6" i="11"/>
  <c r="E6" i="11"/>
  <c r="C6" i="11"/>
  <c r="C5" i="11"/>
  <c r="D5" i="11"/>
  <c r="E5" i="11"/>
  <c r="B6" i="6"/>
  <c r="B8" i="6" s="1"/>
  <c r="B6" i="10"/>
  <c r="B8" i="10" s="1"/>
  <c r="B5" i="10"/>
  <c r="B4" i="10"/>
  <c r="B5" i="6"/>
  <c r="B4" i="6"/>
  <c r="B6" i="9"/>
  <c r="B8" i="9" s="1"/>
  <c r="B5" i="9"/>
  <c r="B4" i="9"/>
  <c r="B6" i="7"/>
  <c r="B8" i="7" s="1"/>
  <c r="B5" i="7"/>
  <c r="B4" i="7"/>
  <c r="B6" i="8"/>
  <c r="B8" i="8" s="1"/>
  <c r="B4" i="8"/>
  <c r="B5" i="8"/>
  <c r="F9" i="11" l="1"/>
  <c r="F10" i="11"/>
  <c r="F8" i="11"/>
  <c r="I7" i="11"/>
  <c r="F7" i="11"/>
  <c r="E4" i="11"/>
  <c r="D4" i="11"/>
  <c r="I6" i="11"/>
  <c r="F6" i="11"/>
  <c r="H6" i="11" s="1"/>
  <c r="I5" i="11"/>
  <c r="C4" i="11"/>
  <c r="F5" i="11"/>
  <c r="B6" i="1"/>
  <c r="B8" i="1" s="1"/>
  <c r="B5" i="1"/>
  <c r="H9" i="11" l="1"/>
  <c r="H10" i="11"/>
  <c r="H8" i="11"/>
  <c r="H7" i="11"/>
  <c r="I4" i="11"/>
  <c r="F4" i="11"/>
  <c r="H5" i="11"/>
  <c r="H4" i="11" l="1"/>
</calcChain>
</file>

<file path=xl/sharedStrings.xml><?xml version="1.0" encoding="utf-8"?>
<sst xmlns="http://schemas.openxmlformats.org/spreadsheetml/2006/main" count="860" uniqueCount="812">
  <si>
    <t>已掌握</t>
    <phoneticPr fontId="3" type="noConversion"/>
  </si>
  <si>
    <t>有印象</t>
    <phoneticPr fontId="3" type="noConversion"/>
  </si>
  <si>
    <t>未掌握</t>
    <phoneticPr fontId="3" type="noConversion"/>
  </si>
  <si>
    <t>掌握率</t>
    <phoneticPr fontId="3" type="noConversion"/>
  </si>
  <si>
    <t>印象率</t>
    <phoneticPr fontId="3" type="noConversion"/>
  </si>
  <si>
    <t>已学习</t>
    <phoneticPr fontId="3" type="noConversion"/>
  </si>
  <si>
    <t>总数</t>
    <phoneticPr fontId="3" type="noConversion"/>
  </si>
  <si>
    <t>学习率</t>
    <phoneticPr fontId="3" type="noConversion"/>
  </si>
  <si>
    <t>Sheet1</t>
    <phoneticPr fontId="1" type="noConversion"/>
  </si>
  <si>
    <t>Sheet2</t>
  </si>
  <si>
    <t>Sheet3</t>
  </si>
  <si>
    <t>Sheet4</t>
  </si>
  <si>
    <t>Sheet5</t>
  </si>
  <si>
    <t>Sheet6</t>
  </si>
  <si>
    <r>
      <rPr>
        <sz val="16"/>
        <rFont val="宋体"/>
        <family val="3"/>
        <charset val="134"/>
      </rPr>
      <t>总数</t>
    </r>
    <phoneticPr fontId="1" type="noConversion"/>
  </si>
  <si>
    <r>
      <rPr>
        <sz val="16"/>
        <rFont val="宋体"/>
        <family val="3"/>
        <charset val="134"/>
      </rPr>
      <t>总览</t>
    </r>
    <phoneticPr fontId="1" type="noConversion"/>
  </si>
  <si>
    <r>
      <rPr>
        <sz val="16"/>
        <rFont val="宋体"/>
        <family val="3"/>
        <charset val="134"/>
      </rPr>
      <t>已掌握</t>
    </r>
    <phoneticPr fontId="1" type="noConversion"/>
  </si>
  <si>
    <r>
      <rPr>
        <sz val="16"/>
        <rFont val="宋体"/>
        <family val="3"/>
        <charset val="134"/>
      </rPr>
      <t>有印象</t>
    </r>
    <phoneticPr fontId="1" type="noConversion"/>
  </si>
  <si>
    <r>
      <rPr>
        <sz val="16"/>
        <rFont val="宋体"/>
        <family val="3"/>
        <charset val="134"/>
      </rPr>
      <t>未掌握</t>
    </r>
    <phoneticPr fontId="1" type="noConversion"/>
  </si>
  <si>
    <r>
      <rPr>
        <sz val="16"/>
        <rFont val="宋体"/>
        <family val="3"/>
        <charset val="134"/>
      </rPr>
      <t>已学习</t>
    </r>
    <phoneticPr fontId="1" type="noConversion"/>
  </si>
  <si>
    <r>
      <rPr>
        <sz val="16"/>
        <rFont val="宋体"/>
        <family val="3"/>
        <charset val="134"/>
      </rPr>
      <t>学习率</t>
    </r>
    <phoneticPr fontId="1" type="noConversion"/>
  </si>
  <si>
    <r>
      <rPr>
        <sz val="16"/>
        <rFont val="宋体"/>
        <family val="3"/>
        <charset val="134"/>
      </rPr>
      <t>掌握率</t>
    </r>
    <phoneticPr fontId="1" type="noConversion"/>
  </si>
  <si>
    <t>wr/wer=contort,twist</t>
    <phoneticPr fontId="1" type="noConversion"/>
  </si>
  <si>
    <r>
      <t>[</t>
    </r>
    <r>
      <rPr>
        <sz val="18"/>
        <rFont val="宋体"/>
        <family val="3"/>
        <charset val="134"/>
      </rPr>
      <t>阿</t>
    </r>
    <r>
      <rPr>
        <sz val="18"/>
        <rFont val="Times New Roman"/>
        <family val="1"/>
      </rPr>
      <t>]samt(</t>
    </r>
    <r>
      <rPr>
        <sz val="18"/>
        <rFont val="宋体"/>
        <family val="3"/>
        <charset val="134"/>
      </rPr>
      <t>路</t>
    </r>
    <r>
      <rPr>
        <sz val="18"/>
        <rFont val="Times New Roman"/>
        <family val="1"/>
      </rPr>
      <t xml:space="preserve">)+ar-ras(above head)  </t>
    </r>
    <phoneticPr fontId="1" type="noConversion"/>
  </si>
  <si>
    <r>
      <t>[</t>
    </r>
    <r>
      <rPr>
        <sz val="18"/>
        <rFont val="宋体"/>
        <family val="3"/>
        <charset val="134"/>
      </rPr>
      <t>法</t>
    </r>
    <r>
      <rPr>
        <sz val="18"/>
        <rFont val="Times New Roman"/>
        <family val="1"/>
      </rPr>
      <t>]zeste(</t>
    </r>
    <r>
      <rPr>
        <sz val="18"/>
        <rFont val="宋体"/>
        <family val="3"/>
        <charset val="134"/>
      </rPr>
      <t>橘子皮</t>
    </r>
    <r>
      <rPr>
        <sz val="18"/>
        <rFont val="Times New Roman"/>
        <family val="1"/>
      </rPr>
      <t>)</t>
    </r>
    <phoneticPr fontId="1" type="noConversion"/>
  </si>
  <si>
    <t>magnificent</t>
    <phoneticPr fontId="1" type="noConversion"/>
  </si>
  <si>
    <r>
      <t>[</t>
    </r>
    <r>
      <rPr>
        <sz val="18"/>
        <rFont val="宋体"/>
        <family val="3"/>
        <charset val="134"/>
      </rPr>
      <t>挪</t>
    </r>
    <r>
      <rPr>
        <sz val="18"/>
        <rFont val="Times New Roman"/>
        <family val="1"/>
      </rPr>
      <t>]töturr(rags, tatters)</t>
    </r>
    <phoneticPr fontId="1" type="noConversion"/>
  </si>
  <si>
    <t xml:space="preserve">tempus(time, season) </t>
    <phoneticPr fontId="1" type="noConversion"/>
  </si>
  <si>
    <t>[PIE]tep(walm)</t>
    <phoneticPr fontId="1" type="noConversion"/>
  </si>
  <si>
    <t>ten</t>
    <phoneticPr fontId="1" type="noConversion"/>
  </si>
  <si>
    <r>
      <t>[</t>
    </r>
    <r>
      <rPr>
        <sz val="18"/>
        <rFont val="宋体"/>
        <family val="3"/>
        <charset val="134"/>
      </rPr>
      <t>拉</t>
    </r>
    <r>
      <rPr>
        <sz val="18"/>
        <rFont val="Times New Roman"/>
        <family val="1"/>
      </rPr>
      <t xml:space="preserve">]torrere(parch) </t>
    </r>
    <phoneticPr fontId="1" type="noConversion"/>
  </si>
  <si>
    <r>
      <t>[</t>
    </r>
    <r>
      <rPr>
        <sz val="18"/>
        <rFont val="宋体"/>
        <family val="3"/>
        <charset val="134"/>
      </rPr>
      <t>拉</t>
    </r>
    <r>
      <rPr>
        <sz val="18"/>
        <rFont val="Times New Roman"/>
        <family val="1"/>
      </rPr>
      <t xml:space="preserve">]vicis(change, exchange, interchange) </t>
    </r>
    <phoneticPr fontId="1" type="noConversion"/>
  </si>
  <si>
    <t>counsel</t>
    <phoneticPr fontId="3" type="noConversion"/>
  </si>
  <si>
    <r>
      <t>[</t>
    </r>
    <r>
      <rPr>
        <sz val="18"/>
        <rFont val="宋体"/>
        <family val="3"/>
        <charset val="134"/>
      </rPr>
      <t>拉</t>
    </r>
    <r>
      <rPr>
        <sz val="18"/>
        <rFont val="Times New Roman"/>
        <family val="1"/>
      </rPr>
      <t xml:space="preserve">]consilium(plan, opinion) </t>
    </r>
    <phoneticPr fontId="3" type="noConversion"/>
  </si>
  <si>
    <r>
      <t xml:space="preserve">n. </t>
    </r>
    <r>
      <rPr>
        <sz val="18"/>
        <rFont val="宋体"/>
        <family val="3"/>
        <charset val="134"/>
      </rPr>
      <t>法律顾问；忠告；商议；讨论；决策</t>
    </r>
    <r>
      <rPr>
        <sz val="18"/>
        <rFont val="Times New Roman"/>
        <family val="1"/>
      </rPr>
      <t xml:space="preserve">vt. </t>
    </r>
    <r>
      <rPr>
        <sz val="18"/>
        <rFont val="宋体"/>
        <family val="3"/>
        <charset val="134"/>
      </rPr>
      <t>建议；劝告</t>
    </r>
    <r>
      <rPr>
        <sz val="18"/>
        <rFont val="Times New Roman"/>
        <family val="1"/>
      </rPr>
      <t xml:space="preserve">vi. </t>
    </r>
    <r>
      <rPr>
        <sz val="18"/>
        <rFont val="宋体"/>
        <family val="3"/>
        <charset val="134"/>
      </rPr>
      <t>商讨；提出忠告</t>
    </r>
    <phoneticPr fontId="3" type="noConversion"/>
  </si>
  <si>
    <t>lucrative</t>
    <phoneticPr fontId="3" type="noConversion"/>
  </si>
  <si>
    <t>lucre(gain, profit)</t>
    <phoneticPr fontId="3" type="noConversion"/>
  </si>
  <si>
    <r>
      <t xml:space="preserve">adj. </t>
    </r>
    <r>
      <rPr>
        <sz val="18"/>
        <rFont val="宋体"/>
        <family val="3"/>
        <charset val="134"/>
      </rPr>
      <t>有利可图的，赚钱的；合算的</t>
    </r>
    <phoneticPr fontId="3" type="noConversion"/>
  </si>
  <si>
    <t>lucre</t>
    <phoneticPr fontId="3" type="noConversion"/>
  </si>
  <si>
    <t>n. 收益；钱财；利润</t>
  </si>
  <si>
    <r>
      <t xml:space="preserve">adj. </t>
    </r>
    <r>
      <rPr>
        <sz val="18"/>
        <rFont val="宋体"/>
        <family val="3"/>
        <charset val="134"/>
      </rPr>
      <t>兽性的，卑劣的；残忍的；野蛮的；</t>
    </r>
    <r>
      <rPr>
        <sz val="18"/>
        <rFont val="Times New Roman"/>
        <family val="1"/>
      </rPr>
      <t xml:space="preserve">n. </t>
    </r>
    <r>
      <rPr>
        <sz val="18"/>
        <rFont val="宋体"/>
        <family val="3"/>
        <charset val="134"/>
      </rPr>
      <t>牛</t>
    </r>
    <phoneticPr fontId="3" type="noConversion"/>
  </si>
  <si>
    <t>=beast</t>
    <phoneticPr fontId="3" type="noConversion"/>
  </si>
  <si>
    <t>mural</t>
    <phoneticPr fontId="3" type="noConversion"/>
  </si>
  <si>
    <r>
      <t xml:space="preserve">adj. </t>
    </r>
    <r>
      <rPr>
        <sz val="18"/>
        <rFont val="宋体"/>
        <family val="3"/>
        <charset val="134"/>
      </rPr>
      <t>墙壁的；</t>
    </r>
    <r>
      <rPr>
        <sz val="18"/>
        <rFont val="Times New Roman"/>
        <family val="1"/>
      </rPr>
      <t xml:space="preserve">n. </t>
    </r>
    <r>
      <rPr>
        <sz val="18"/>
        <rFont val="宋体"/>
        <family val="3"/>
        <charset val="134"/>
      </rPr>
      <t>壁画；（美）壁饰</t>
    </r>
    <phoneticPr fontId="3" type="noConversion"/>
  </si>
  <si>
    <t>murus (wall)</t>
    <phoneticPr fontId="3" type="noConversion"/>
  </si>
  <si>
    <t>moron</t>
    <phoneticPr fontId="3" type="noConversion"/>
  </si>
  <si>
    <r>
      <t xml:space="preserve">n. </t>
    </r>
    <r>
      <rPr>
        <sz val="18"/>
        <rFont val="宋体"/>
        <family val="3"/>
        <charset val="134"/>
      </rPr>
      <t>傻瓜；痴愚者；笨人</t>
    </r>
    <phoneticPr fontId="3" type="noConversion"/>
  </si>
  <si>
    <r>
      <t>[</t>
    </r>
    <r>
      <rPr>
        <sz val="18"/>
        <rFont val="宋体"/>
        <family val="3"/>
        <charset val="134"/>
      </rPr>
      <t>拉</t>
    </r>
    <r>
      <rPr>
        <sz val="18"/>
        <rFont val="Times New Roman"/>
        <family val="1"/>
      </rPr>
      <t xml:space="preserve">]morus(foolish) </t>
    </r>
    <phoneticPr fontId="3" type="noConversion"/>
  </si>
  <si>
    <t>adroit</t>
    <phoneticPr fontId="3" type="noConversion"/>
  </si>
  <si>
    <r>
      <t xml:space="preserve">adj. </t>
    </r>
    <r>
      <rPr>
        <sz val="18"/>
        <rFont val="宋体"/>
        <family val="3"/>
        <charset val="134"/>
      </rPr>
      <t>敏捷的，灵巧的；熟练的</t>
    </r>
    <phoneticPr fontId="3" type="noConversion"/>
  </si>
  <si>
    <t>bestial</t>
    <phoneticPr fontId="3" type="noConversion"/>
  </si>
  <si>
    <t>direct</t>
    <phoneticPr fontId="3" type="noConversion"/>
  </si>
  <si>
    <t>mire</t>
    <phoneticPr fontId="3" type="noConversion"/>
  </si>
  <si>
    <r>
      <t xml:space="preserve">n. </t>
    </r>
    <r>
      <rPr>
        <sz val="18"/>
        <rFont val="宋体"/>
        <family val="3"/>
        <charset val="134"/>
      </rPr>
      <t>泥潭；</t>
    </r>
    <r>
      <rPr>
        <sz val="18"/>
        <rFont val="Times New Roman"/>
        <family val="1"/>
      </rPr>
      <t>[</t>
    </r>
    <r>
      <rPr>
        <sz val="18"/>
        <rFont val="宋体"/>
        <family val="3"/>
        <charset val="134"/>
      </rPr>
      <t>地理</t>
    </r>
    <r>
      <rPr>
        <sz val="18"/>
        <rFont val="Times New Roman"/>
        <family val="1"/>
      </rPr>
      <t xml:space="preserve">] </t>
    </r>
    <r>
      <rPr>
        <sz val="18"/>
        <rFont val="宋体"/>
        <family val="3"/>
        <charset val="134"/>
      </rPr>
      <t>泥沼；</t>
    </r>
    <r>
      <rPr>
        <sz val="18"/>
        <rFont val="Times New Roman"/>
        <family val="1"/>
      </rPr>
      <t xml:space="preserve">vi. </t>
    </r>
    <r>
      <rPr>
        <sz val="18"/>
        <rFont val="宋体"/>
        <family val="3"/>
        <charset val="134"/>
      </rPr>
      <t>陷于泥坑；陷入困境；</t>
    </r>
    <r>
      <rPr>
        <sz val="18"/>
        <rFont val="Times New Roman"/>
        <family val="1"/>
      </rPr>
      <t xml:space="preserve">vt. </t>
    </r>
    <r>
      <rPr>
        <sz val="18"/>
        <rFont val="宋体"/>
        <family val="3"/>
        <charset val="134"/>
      </rPr>
      <t>使陷于泥坑；使陷入困境</t>
    </r>
    <phoneticPr fontId="3" type="noConversion"/>
  </si>
  <si>
    <r>
      <t>[</t>
    </r>
    <r>
      <rPr>
        <sz val="18"/>
        <rFont val="宋体"/>
        <family val="3"/>
        <charset val="134"/>
      </rPr>
      <t>挪</t>
    </r>
    <r>
      <rPr>
        <sz val="18"/>
        <rFont val="Times New Roman"/>
        <family val="1"/>
      </rPr>
      <t>]myrr(bog, swamp)</t>
    </r>
    <phoneticPr fontId="3" type="noConversion"/>
  </si>
  <si>
    <t>celerity</t>
    <phoneticPr fontId="3" type="noConversion"/>
  </si>
  <si>
    <t>=accelerate</t>
    <phoneticPr fontId="3" type="noConversion"/>
  </si>
  <si>
    <r>
      <t xml:space="preserve">n. </t>
    </r>
    <r>
      <rPr>
        <sz val="18"/>
        <rFont val="宋体"/>
        <family val="3"/>
        <charset val="134"/>
      </rPr>
      <t>快速；敏捷</t>
    </r>
    <phoneticPr fontId="3" type="noConversion"/>
  </si>
  <si>
    <t>custodian</t>
    <phoneticPr fontId="3" type="noConversion"/>
  </si>
  <si>
    <t>custody(janitor)</t>
    <phoneticPr fontId="3" type="noConversion"/>
  </si>
  <si>
    <r>
      <t xml:space="preserve">n. </t>
    </r>
    <r>
      <rPr>
        <sz val="18"/>
        <rFont val="宋体"/>
        <family val="3"/>
        <charset val="134"/>
      </rPr>
      <t>管理人；监护人；保管人</t>
    </r>
    <phoneticPr fontId="3" type="noConversion"/>
  </si>
  <si>
    <t>faculty</t>
    <phoneticPr fontId="3" type="noConversion"/>
  </si>
  <si>
    <r>
      <t xml:space="preserve">n. </t>
    </r>
    <r>
      <rPr>
        <sz val="18"/>
        <rFont val="宋体"/>
        <family val="3"/>
        <charset val="134"/>
      </rPr>
      <t>科，系；能力；全体教员</t>
    </r>
    <phoneticPr fontId="3" type="noConversion"/>
  </si>
  <si>
    <t>=facility</t>
    <phoneticPr fontId="3" type="noConversion"/>
  </si>
  <si>
    <t>melancholy</t>
    <phoneticPr fontId="3" type="noConversion"/>
  </si>
  <si>
    <r>
      <t>[</t>
    </r>
    <r>
      <rPr>
        <sz val="18"/>
        <rFont val="宋体"/>
        <family val="3"/>
        <charset val="134"/>
      </rPr>
      <t>希</t>
    </r>
    <r>
      <rPr>
        <sz val="18"/>
        <rFont val="Times New Roman"/>
        <family val="1"/>
      </rPr>
      <t>]mélās(black)+kholé(bile)</t>
    </r>
    <phoneticPr fontId="3" type="noConversion"/>
  </si>
  <si>
    <r>
      <t xml:space="preserve">adj. </t>
    </r>
    <r>
      <rPr>
        <sz val="18"/>
        <rFont val="宋体"/>
        <family val="3"/>
        <charset val="134"/>
      </rPr>
      <t>忧郁的；使人悲伤的；</t>
    </r>
    <r>
      <rPr>
        <sz val="18"/>
        <rFont val="Times New Roman"/>
        <family val="1"/>
      </rPr>
      <t xml:space="preserve">n. </t>
    </r>
    <r>
      <rPr>
        <sz val="18"/>
        <rFont val="宋体"/>
        <family val="3"/>
        <charset val="134"/>
      </rPr>
      <t>忧郁；悲哀；愁思</t>
    </r>
    <phoneticPr fontId="3" type="noConversion"/>
  </si>
  <si>
    <t>refrain</t>
    <phoneticPr fontId="3" type="noConversion"/>
  </si>
  <si>
    <r>
      <t xml:space="preserve">vi. </t>
    </r>
    <r>
      <rPr>
        <sz val="18"/>
        <rFont val="宋体"/>
        <family val="3"/>
        <charset val="134"/>
      </rPr>
      <t>节制，克制；避免；制止；</t>
    </r>
    <r>
      <rPr>
        <sz val="18"/>
        <rFont val="Times New Roman"/>
        <family val="1"/>
      </rPr>
      <t xml:space="preserve">n. </t>
    </r>
    <r>
      <rPr>
        <sz val="18"/>
        <rFont val="宋体"/>
        <family val="3"/>
        <charset val="134"/>
      </rPr>
      <t>叠句，副歌；重复</t>
    </r>
    <phoneticPr fontId="3" type="noConversion"/>
  </si>
  <si>
    <r>
      <t>frenum(</t>
    </r>
    <r>
      <rPr>
        <sz val="18"/>
        <rFont val="宋体"/>
        <family val="3"/>
        <charset val="134"/>
      </rPr>
      <t>缰绳</t>
    </r>
    <r>
      <rPr>
        <sz val="18"/>
        <rFont val="Times New Roman"/>
        <family val="1"/>
      </rPr>
      <t>)</t>
    </r>
    <phoneticPr fontId="3" type="noConversion"/>
  </si>
  <si>
    <t>confute</t>
    <phoneticPr fontId="3" type="noConversion"/>
  </si>
  <si>
    <r>
      <t xml:space="preserve">vt. </t>
    </r>
    <r>
      <rPr>
        <sz val="18"/>
        <rFont val="宋体"/>
        <family val="3"/>
        <charset val="134"/>
      </rPr>
      <t>驳斥，驳倒</t>
    </r>
    <phoneticPr fontId="3" type="noConversion"/>
  </si>
  <si>
    <t>[PIE]bhau(strike, beat)</t>
    <phoneticPr fontId="3" type="noConversion"/>
  </si>
  <si>
    <t>elixir</t>
    <phoneticPr fontId="3" type="noConversion"/>
  </si>
  <si>
    <r>
      <t xml:space="preserve">n. </t>
    </r>
    <r>
      <rPr>
        <sz val="18"/>
        <rFont val="宋体"/>
        <family val="3"/>
        <charset val="134"/>
      </rPr>
      <t>不老长寿药；万能药；炼金药</t>
    </r>
    <phoneticPr fontId="3" type="noConversion"/>
  </si>
  <si>
    <r>
      <t>=xerox</t>
    </r>
    <r>
      <rPr>
        <sz val="18"/>
        <rFont val="Times New Roman"/>
        <family val="1"/>
      </rPr>
      <t>(dry)</t>
    </r>
    <phoneticPr fontId="3" type="noConversion"/>
  </si>
  <si>
    <t>badge</t>
    <phoneticPr fontId="3" type="noConversion"/>
  </si>
  <si>
    <r>
      <t xml:space="preserve">n. </t>
    </r>
    <r>
      <rPr>
        <sz val="18"/>
        <rFont val="宋体"/>
        <family val="3"/>
        <charset val="134"/>
      </rPr>
      <t>徽章；证章；标记；</t>
    </r>
    <r>
      <rPr>
        <sz val="18"/>
        <rFont val="Times New Roman"/>
        <family val="1"/>
      </rPr>
      <t xml:space="preserve">vt. </t>
    </r>
    <r>
      <rPr>
        <sz val="18"/>
        <rFont val="宋体"/>
        <family val="3"/>
        <charset val="134"/>
      </rPr>
      <t>授给</t>
    </r>
    <r>
      <rPr>
        <sz val="18"/>
        <rFont val="Times New Roman"/>
        <family val="1"/>
      </rPr>
      <t>…</t>
    </r>
    <r>
      <rPr>
        <sz val="18"/>
        <rFont val="宋体"/>
        <family val="3"/>
        <charset val="134"/>
      </rPr>
      <t>徽章</t>
    </r>
    <phoneticPr fontId="3" type="noConversion"/>
  </si>
  <si>
    <r>
      <t>[</t>
    </r>
    <r>
      <rPr>
        <sz val="18"/>
        <rFont val="宋体"/>
        <family val="3"/>
        <charset val="134"/>
      </rPr>
      <t>拉</t>
    </r>
    <r>
      <rPr>
        <sz val="18"/>
        <rFont val="Times New Roman"/>
        <family val="1"/>
      </rPr>
      <t>]bagia(emblem)</t>
    </r>
    <phoneticPr fontId="3" type="noConversion"/>
  </si>
  <si>
    <t>fuse</t>
    <phoneticPr fontId="3" type="noConversion"/>
  </si>
  <si>
    <r>
      <t xml:space="preserve">v. </t>
    </r>
    <r>
      <rPr>
        <sz val="18"/>
        <rFont val="宋体"/>
        <family val="3"/>
        <charset val="134"/>
      </rPr>
      <t>融合；熔化，熔融；</t>
    </r>
    <r>
      <rPr>
        <sz val="18"/>
        <rFont val="Times New Roman"/>
        <family val="1"/>
      </rPr>
      <t xml:space="preserve">n. </t>
    </r>
    <r>
      <rPr>
        <sz val="18"/>
        <rFont val="宋体"/>
        <family val="3"/>
        <charset val="134"/>
      </rPr>
      <t>保险丝，熔线；导火线，雷管</t>
    </r>
    <phoneticPr fontId="3" type="noConversion"/>
  </si>
  <si>
    <t>fundere(pour, melt)</t>
    <phoneticPr fontId="3" type="noConversion"/>
  </si>
  <si>
    <t>embryo</t>
    <phoneticPr fontId="3" type="noConversion"/>
  </si>
  <si>
    <r>
      <t>n. [</t>
    </r>
    <r>
      <rPr>
        <sz val="18"/>
        <rFont val="宋体"/>
        <family val="3"/>
        <charset val="134"/>
      </rPr>
      <t>胚</t>
    </r>
    <r>
      <rPr>
        <sz val="18"/>
        <rFont val="Times New Roman"/>
        <family val="1"/>
      </rPr>
      <t xml:space="preserve">] </t>
    </r>
    <r>
      <rPr>
        <sz val="18"/>
        <rFont val="宋体"/>
        <family val="3"/>
        <charset val="134"/>
      </rPr>
      <t>胚胎；胚芽；初期；</t>
    </r>
    <r>
      <rPr>
        <sz val="18"/>
        <rFont val="Times New Roman"/>
        <family val="1"/>
      </rPr>
      <t xml:space="preserve">adj. </t>
    </r>
    <r>
      <rPr>
        <sz val="18"/>
        <rFont val="宋体"/>
        <family val="3"/>
        <charset val="134"/>
      </rPr>
      <t>胚胎的；初期的</t>
    </r>
    <phoneticPr fontId="3" type="noConversion"/>
  </si>
  <si>
    <r>
      <t>[</t>
    </r>
    <r>
      <rPr>
        <sz val="18"/>
        <rFont val="宋体"/>
        <family val="3"/>
        <charset val="134"/>
      </rPr>
      <t>希</t>
    </r>
    <r>
      <rPr>
        <sz val="18"/>
        <rFont val="Times New Roman"/>
        <family val="1"/>
      </rPr>
      <t>]en(in)br</t>
    </r>
    <r>
      <rPr>
        <sz val="18"/>
        <rFont val="宋体"/>
        <family val="3"/>
        <charset val="134"/>
      </rPr>
      <t>ú</t>
    </r>
    <r>
      <rPr>
        <sz val="18"/>
        <rFont val="Times New Roman"/>
        <family val="1"/>
      </rPr>
      <t>ein(swell, grow)</t>
    </r>
    <phoneticPr fontId="3" type="noConversion"/>
  </si>
  <si>
    <t>adorn</t>
    <phoneticPr fontId="3" type="noConversion"/>
  </si>
  <si>
    <t>agoraphobic</t>
    <phoneticPr fontId="3" type="noConversion"/>
  </si>
  <si>
    <t>akin</t>
    <phoneticPr fontId="3" type="noConversion"/>
  </si>
  <si>
    <t>anatomical</t>
    <phoneticPr fontId="3" type="noConversion"/>
  </si>
  <si>
    <t>antiquarianism</t>
    <phoneticPr fontId="3" type="noConversion"/>
  </si>
  <si>
    <t>apex</t>
    <phoneticPr fontId="3" type="noConversion"/>
  </si>
  <si>
    <t>archive</t>
    <phoneticPr fontId="3" type="noConversion"/>
  </si>
  <si>
    <t>artisan</t>
    <phoneticPr fontId="3" type="noConversion"/>
  </si>
  <si>
    <t>astigmatic</t>
    <phoneticPr fontId="3" type="noConversion"/>
  </si>
  <si>
    <t>astray</t>
    <phoneticPr fontId="3" type="noConversion"/>
  </si>
  <si>
    <t>attrition</t>
    <phoneticPr fontId="3" type="noConversion"/>
  </si>
  <si>
    <t>base</t>
    <phoneticPr fontId="3" type="noConversion"/>
  </si>
  <si>
    <t>bastion</t>
    <phoneticPr fontId="3" type="noConversion"/>
  </si>
  <si>
    <t>abortive</t>
    <phoneticPr fontId="3" type="noConversion"/>
  </si>
  <si>
    <t>abstention</t>
    <phoneticPr fontId="3" type="noConversion"/>
  </si>
  <si>
    <t>acarpous</t>
    <phoneticPr fontId="3" type="noConversion"/>
  </si>
  <si>
    <t>accrue</t>
    <phoneticPr fontId="3" type="noConversion"/>
  </si>
  <si>
    <t>acedia</t>
    <phoneticPr fontId="3" type="noConversion"/>
  </si>
  <si>
    <t>acquit</t>
    <phoneticPr fontId="3" type="noConversion"/>
  </si>
  <si>
    <t>acrobat</t>
    <phoneticPr fontId="3" type="noConversion"/>
  </si>
  <si>
    <t>acuity</t>
    <phoneticPr fontId="3" type="noConversion"/>
  </si>
  <si>
    <t>addle</t>
    <phoneticPr fontId="3" type="noConversion"/>
  </si>
  <si>
    <t>adduce</t>
    <phoneticPr fontId="3" type="noConversion"/>
  </si>
  <si>
    <t>aerate</t>
    <phoneticPr fontId="3" type="noConversion"/>
  </si>
  <si>
    <t>affiliate</t>
    <phoneticPr fontId="3" type="noConversion"/>
  </si>
  <si>
    <t>aftermath</t>
    <phoneticPr fontId="3" type="noConversion"/>
  </si>
  <si>
    <t>agile</t>
    <phoneticPr fontId="3" type="noConversion"/>
  </si>
  <si>
    <t>agnostic</t>
    <phoneticPr fontId="3" type="noConversion"/>
  </si>
  <si>
    <t>ague</t>
    <phoneticPr fontId="3" type="noConversion"/>
  </si>
  <si>
    <t>ail</t>
    <phoneticPr fontId="3" type="noConversion"/>
  </si>
  <si>
    <t>aleatory</t>
    <phoneticPr fontId="3" type="noConversion"/>
  </si>
  <si>
    <t>allergic</t>
    <phoneticPr fontId="3" type="noConversion"/>
  </si>
  <si>
    <t>amass</t>
    <phoneticPr fontId="3" type="noConversion"/>
  </si>
  <si>
    <t>ambience</t>
    <phoneticPr fontId="3" type="noConversion"/>
  </si>
  <si>
    <t>ambush</t>
    <phoneticPr fontId="3" type="noConversion"/>
  </si>
  <si>
    <t>amnesia</t>
    <phoneticPr fontId="3" type="noConversion"/>
  </si>
  <si>
    <t>amnesty</t>
    <phoneticPr fontId="3" type="noConversion"/>
  </si>
  <si>
    <t>anguish</t>
    <phoneticPr fontId="3" type="noConversion"/>
  </si>
  <si>
    <t>animadvert</t>
    <phoneticPr fontId="3" type="noConversion"/>
  </si>
  <si>
    <t>azure</t>
    <phoneticPr fontId="3" type="noConversion"/>
  </si>
  <si>
    <r>
      <t xml:space="preserve">adj. </t>
    </r>
    <r>
      <rPr>
        <sz val="18"/>
        <rFont val="宋体"/>
        <family val="3"/>
        <charset val="134"/>
      </rPr>
      <t>失败的；流产的；堕胎的</t>
    </r>
    <phoneticPr fontId="3" type="noConversion"/>
  </si>
  <si>
    <t>abs+ten</t>
    <phoneticPr fontId="3" type="noConversion"/>
  </si>
  <si>
    <r>
      <t xml:space="preserve">vi. </t>
    </r>
    <r>
      <rPr>
        <sz val="18"/>
        <rFont val="宋体"/>
        <family val="3"/>
        <charset val="134"/>
      </rPr>
      <t>自制；放弃；避免</t>
    </r>
    <phoneticPr fontId="3" type="noConversion"/>
  </si>
  <si>
    <t>karpos(fruit)</t>
    <phoneticPr fontId="3" type="noConversion"/>
  </si>
  <si>
    <r>
      <t xml:space="preserve">adj. </t>
    </r>
    <r>
      <rPr>
        <sz val="18"/>
        <rFont val="宋体"/>
        <family val="3"/>
        <charset val="134"/>
      </rPr>
      <t>不结果的；</t>
    </r>
    <r>
      <rPr>
        <sz val="18"/>
        <rFont val="Times New Roman"/>
        <family val="1"/>
      </rPr>
      <t>[</t>
    </r>
    <r>
      <rPr>
        <sz val="18"/>
        <rFont val="宋体"/>
        <family val="3"/>
        <charset val="134"/>
      </rPr>
      <t>植</t>
    </r>
    <r>
      <rPr>
        <sz val="18"/>
        <rFont val="Times New Roman"/>
        <family val="1"/>
      </rPr>
      <t xml:space="preserve">] </t>
    </r>
    <r>
      <rPr>
        <sz val="18"/>
        <rFont val="宋体"/>
        <family val="3"/>
        <charset val="134"/>
      </rPr>
      <t>无果实的</t>
    </r>
    <phoneticPr fontId="3" type="noConversion"/>
  </si>
  <si>
    <r>
      <t xml:space="preserve">vi. </t>
    </r>
    <r>
      <rPr>
        <sz val="18"/>
        <rFont val="宋体"/>
        <family val="3"/>
        <charset val="134"/>
      </rPr>
      <t>产生；自然增长或利益增加；</t>
    </r>
    <r>
      <rPr>
        <sz val="18"/>
        <rFont val="Times New Roman"/>
        <family val="1"/>
      </rPr>
      <t xml:space="preserve">vt. </t>
    </r>
    <r>
      <rPr>
        <sz val="18"/>
        <rFont val="宋体"/>
        <family val="3"/>
        <charset val="134"/>
      </rPr>
      <t>获得；积累</t>
    </r>
    <phoneticPr fontId="3" type="noConversion"/>
  </si>
  <si>
    <t>=create</t>
    <phoneticPr fontId="3" type="noConversion"/>
  </si>
  <si>
    <r>
      <t xml:space="preserve">n. </t>
    </r>
    <r>
      <rPr>
        <sz val="18"/>
        <rFont val="宋体"/>
        <family val="3"/>
        <charset val="134"/>
      </rPr>
      <t>绝望；懒惰，倦怠</t>
    </r>
    <phoneticPr fontId="3" type="noConversion"/>
  </si>
  <si>
    <r>
      <t>[</t>
    </r>
    <r>
      <rPr>
        <sz val="18"/>
        <rFont val="宋体"/>
        <family val="3"/>
        <charset val="134"/>
      </rPr>
      <t>希</t>
    </r>
    <r>
      <rPr>
        <sz val="18"/>
        <rFont val="Times New Roman"/>
        <family val="1"/>
      </rPr>
      <t>]a(without) +kēdos(care)</t>
    </r>
    <phoneticPr fontId="3" type="noConversion"/>
  </si>
  <si>
    <r>
      <t>[</t>
    </r>
    <r>
      <rPr>
        <sz val="18"/>
        <rFont val="宋体"/>
        <family val="3"/>
        <charset val="134"/>
      </rPr>
      <t>拉</t>
    </r>
    <r>
      <rPr>
        <sz val="18"/>
        <rFont val="Times New Roman"/>
        <family val="1"/>
      </rPr>
      <t>]ab(amiss)+oriri(appear, be born, arise)</t>
    </r>
    <phoneticPr fontId="3" type="noConversion"/>
  </si>
  <si>
    <t>=quiet</t>
    <phoneticPr fontId="3" type="noConversion"/>
  </si>
  <si>
    <r>
      <t xml:space="preserve">vt. </t>
    </r>
    <r>
      <rPr>
        <sz val="18"/>
        <rFont val="宋体"/>
        <family val="3"/>
        <charset val="134"/>
      </rPr>
      <t>无罪释放；表现；脱卸义务和责任；清偿</t>
    </r>
    <phoneticPr fontId="3" type="noConversion"/>
  </si>
  <si>
    <r>
      <t xml:space="preserve">n. </t>
    </r>
    <r>
      <rPr>
        <sz val="18"/>
        <rFont val="宋体"/>
        <family val="3"/>
        <charset val="134"/>
      </rPr>
      <t>杂技演员，特技演员；随机应变者；翻云覆雨者，善变者</t>
    </r>
    <phoneticPr fontId="3" type="noConversion"/>
  </si>
  <si>
    <t>acro(ak(sharp))+bat(baínein(walk))</t>
    <phoneticPr fontId="3" type="noConversion"/>
  </si>
  <si>
    <t>ac(ak(sharp))</t>
    <phoneticPr fontId="3" type="noConversion"/>
  </si>
  <si>
    <r>
      <t xml:space="preserve">n. </t>
    </r>
    <r>
      <rPr>
        <sz val="18"/>
        <rFont val="宋体"/>
        <family val="3"/>
        <charset val="134"/>
      </rPr>
      <t>敏锐；尖锐；剧烈</t>
    </r>
    <phoneticPr fontId="3" type="noConversion"/>
  </si>
  <si>
    <r>
      <t xml:space="preserve">vt. </t>
    </r>
    <r>
      <rPr>
        <sz val="18"/>
        <rFont val="宋体"/>
        <family val="3"/>
        <charset val="134"/>
      </rPr>
      <t>使腐坏；使混乱；</t>
    </r>
    <r>
      <rPr>
        <sz val="18"/>
        <rFont val="Times New Roman"/>
        <family val="1"/>
      </rPr>
      <t xml:space="preserve">vi. </t>
    </r>
    <r>
      <rPr>
        <sz val="18"/>
        <rFont val="宋体"/>
        <family val="3"/>
        <charset val="134"/>
      </rPr>
      <t>变质；变混乱；</t>
    </r>
    <r>
      <rPr>
        <sz val="18"/>
        <rFont val="Times New Roman"/>
        <family val="1"/>
      </rPr>
      <t xml:space="preserve">adj. </t>
    </r>
    <r>
      <rPr>
        <sz val="18"/>
        <rFont val="宋体"/>
        <family val="3"/>
        <charset val="134"/>
      </rPr>
      <t>腐坏的；糊涂的，昏乱的</t>
    </r>
    <phoneticPr fontId="3" type="noConversion"/>
  </si>
  <si>
    <t>adela(mud, mire, liquid manure)</t>
    <phoneticPr fontId="3" type="noConversion"/>
  </si>
  <si>
    <r>
      <t xml:space="preserve">vt. </t>
    </r>
    <r>
      <rPr>
        <sz val="18"/>
        <rFont val="宋体"/>
        <family val="3"/>
        <charset val="134"/>
      </rPr>
      <t>装饰；使生色</t>
    </r>
    <phoneticPr fontId="3" type="noConversion"/>
  </si>
  <si>
    <t>ad+orn</t>
    <phoneticPr fontId="3" type="noConversion"/>
  </si>
  <si>
    <r>
      <t xml:space="preserve">vt. </t>
    </r>
    <r>
      <rPr>
        <sz val="18"/>
        <rFont val="宋体"/>
        <family val="3"/>
        <charset val="134"/>
      </rPr>
      <t>举出；引证</t>
    </r>
    <phoneticPr fontId="3" type="noConversion"/>
  </si>
  <si>
    <t>=duke, duct(lead)</t>
    <phoneticPr fontId="3" type="noConversion"/>
  </si>
  <si>
    <t>air</t>
    <phoneticPr fontId="3" type="noConversion"/>
  </si>
  <si>
    <r>
      <t xml:space="preserve">vt. </t>
    </r>
    <r>
      <rPr>
        <sz val="18"/>
        <rFont val="宋体"/>
        <family val="3"/>
        <charset val="134"/>
      </rPr>
      <t>充气；让空气进入；使暴露于空气中</t>
    </r>
    <phoneticPr fontId="3" type="noConversion"/>
  </si>
  <si>
    <r>
      <t xml:space="preserve">n. </t>
    </r>
    <r>
      <rPr>
        <sz val="18"/>
        <rFont val="宋体"/>
        <family val="3"/>
        <charset val="134"/>
      </rPr>
      <t>恐旷症患者；</t>
    </r>
    <r>
      <rPr>
        <sz val="18"/>
        <rFont val="Times New Roman"/>
        <family val="1"/>
      </rPr>
      <t xml:space="preserve">adj. </t>
    </r>
    <r>
      <rPr>
        <sz val="18"/>
        <rFont val="宋体"/>
        <family val="3"/>
        <charset val="134"/>
      </rPr>
      <t>恐旷症的；恐惧陌生环境的</t>
    </r>
    <phoneticPr fontId="3" type="noConversion"/>
  </si>
  <si>
    <r>
      <t>[</t>
    </r>
    <r>
      <rPr>
        <sz val="18"/>
        <rFont val="宋体"/>
        <family val="3"/>
        <charset val="134"/>
      </rPr>
      <t>希</t>
    </r>
    <r>
      <rPr>
        <sz val="18"/>
        <rFont val="Times New Roman"/>
        <family val="1"/>
      </rPr>
      <t>]agorá(open space)+phóbos(fear)</t>
    </r>
    <phoneticPr fontId="3" type="noConversion"/>
  </si>
  <si>
    <r>
      <t>[</t>
    </r>
    <r>
      <rPr>
        <sz val="18"/>
        <rFont val="宋体"/>
        <family val="3"/>
        <charset val="134"/>
      </rPr>
      <t>希</t>
    </r>
    <r>
      <rPr>
        <sz val="18"/>
        <rFont val="Times New Roman"/>
        <family val="1"/>
      </rPr>
      <t>]gnōsis(knowledge)</t>
    </r>
    <phoneticPr fontId="3" type="noConversion"/>
  </si>
  <si>
    <r>
      <t xml:space="preserve">n. </t>
    </r>
    <r>
      <rPr>
        <sz val="18"/>
        <rFont val="宋体"/>
        <family val="3"/>
        <charset val="134"/>
      </rPr>
      <t>不可知论者；</t>
    </r>
    <r>
      <rPr>
        <sz val="18"/>
        <rFont val="Times New Roman"/>
        <family val="1"/>
      </rPr>
      <t xml:space="preserve">adj. </t>
    </r>
    <r>
      <rPr>
        <sz val="18"/>
        <rFont val="宋体"/>
        <family val="3"/>
        <charset val="134"/>
      </rPr>
      <t>不可知论的</t>
    </r>
    <phoneticPr fontId="3" type="noConversion"/>
  </si>
  <si>
    <t>=female</t>
    <phoneticPr fontId="3" type="noConversion"/>
  </si>
  <si>
    <r>
      <t xml:space="preserve">n. </t>
    </r>
    <r>
      <rPr>
        <sz val="18"/>
        <rFont val="宋体"/>
        <family val="3"/>
        <charset val="134"/>
      </rPr>
      <t>联号；隶属的机构等；</t>
    </r>
    <r>
      <rPr>
        <sz val="18"/>
        <rFont val="Times New Roman"/>
        <family val="1"/>
      </rPr>
      <t xml:space="preserve">vt. </t>
    </r>
    <r>
      <rPr>
        <sz val="18"/>
        <rFont val="宋体"/>
        <family val="3"/>
        <charset val="134"/>
      </rPr>
      <t>使附属；接纳；使紧密联系；</t>
    </r>
    <r>
      <rPr>
        <sz val="18"/>
        <rFont val="Times New Roman"/>
        <family val="1"/>
      </rPr>
      <t xml:space="preserve">vi. </t>
    </r>
    <r>
      <rPr>
        <sz val="18"/>
        <rFont val="宋体"/>
        <family val="3"/>
        <charset val="134"/>
      </rPr>
      <t>参加，加入；发生联系</t>
    </r>
    <phoneticPr fontId="3" type="noConversion"/>
  </si>
  <si>
    <t>mow</t>
    <phoneticPr fontId="3" type="noConversion"/>
  </si>
  <si>
    <r>
      <t xml:space="preserve">n. </t>
    </r>
    <r>
      <rPr>
        <sz val="18"/>
        <rFont val="宋体"/>
        <family val="3"/>
        <charset val="134"/>
      </rPr>
      <t>后果；余波</t>
    </r>
    <phoneticPr fontId="3" type="noConversion"/>
  </si>
  <si>
    <r>
      <t xml:space="preserve">adj. </t>
    </r>
    <r>
      <rPr>
        <sz val="18"/>
        <rFont val="宋体"/>
        <family val="3"/>
        <charset val="134"/>
      </rPr>
      <t>敏捷的；机敏的；活泼的</t>
    </r>
    <phoneticPr fontId="3" type="noConversion"/>
  </si>
  <si>
    <t>act</t>
    <phoneticPr fontId="3" type="noConversion"/>
  </si>
  <si>
    <t>=acute</t>
    <phoneticPr fontId="3" type="noConversion"/>
  </si>
  <si>
    <r>
      <t xml:space="preserve">n. </t>
    </r>
    <r>
      <rPr>
        <sz val="18"/>
        <rFont val="宋体"/>
        <family val="3"/>
        <charset val="134"/>
      </rPr>
      <t>疟疾；发冷；寒颤</t>
    </r>
    <phoneticPr fontId="3" type="noConversion"/>
  </si>
  <si>
    <r>
      <t xml:space="preserve">vt. </t>
    </r>
    <r>
      <rPr>
        <sz val="18"/>
        <rFont val="宋体"/>
        <family val="3"/>
        <charset val="134"/>
      </rPr>
      <t>使苦恼，使烦恼；</t>
    </r>
    <r>
      <rPr>
        <sz val="18"/>
        <rFont val="Times New Roman"/>
        <family val="1"/>
      </rPr>
      <t xml:space="preserve">vi. </t>
    </r>
    <r>
      <rPr>
        <sz val="18"/>
        <rFont val="宋体"/>
        <family val="3"/>
        <charset val="134"/>
      </rPr>
      <t>生病；</t>
    </r>
    <r>
      <rPr>
        <sz val="18"/>
        <rFont val="Times New Roman"/>
        <family val="1"/>
      </rPr>
      <t xml:space="preserve">n. </t>
    </r>
    <r>
      <rPr>
        <sz val="18"/>
        <rFont val="宋体"/>
        <family val="3"/>
        <charset val="134"/>
      </rPr>
      <t>病痛，苦恼</t>
    </r>
    <phoneticPr fontId="3" type="noConversion"/>
  </si>
  <si>
    <t>egle(troublesome)</t>
    <phoneticPr fontId="3" type="noConversion"/>
  </si>
  <si>
    <t>kin</t>
    <phoneticPr fontId="3" type="noConversion"/>
  </si>
  <si>
    <r>
      <t xml:space="preserve">adj. </t>
    </r>
    <r>
      <rPr>
        <sz val="18"/>
        <rFont val="宋体"/>
        <family val="3"/>
        <charset val="134"/>
      </rPr>
      <t>类似的；同类的；同族的</t>
    </r>
    <phoneticPr fontId="3" type="noConversion"/>
  </si>
  <si>
    <r>
      <t xml:space="preserve">adj. </t>
    </r>
    <r>
      <rPr>
        <sz val="18"/>
        <rFont val="宋体"/>
        <family val="3"/>
        <charset val="134"/>
      </rPr>
      <t>偶然的；即兴的</t>
    </r>
    <phoneticPr fontId="3" type="noConversion"/>
  </si>
  <si>
    <t>aleator(a dice player)</t>
    <phoneticPr fontId="3" type="noConversion"/>
  </si>
  <si>
    <r>
      <t xml:space="preserve">n. </t>
    </r>
    <r>
      <rPr>
        <sz val="18"/>
        <rFont val="宋体"/>
        <family val="3"/>
        <charset val="134"/>
      </rPr>
      <t>埋伏，伏击；伏兵；</t>
    </r>
    <r>
      <rPr>
        <sz val="18"/>
        <rFont val="Times New Roman"/>
        <family val="1"/>
      </rPr>
      <t xml:space="preserve">v. </t>
    </r>
    <r>
      <rPr>
        <sz val="18"/>
        <rFont val="宋体"/>
        <family val="3"/>
        <charset val="134"/>
      </rPr>
      <t>埋伏，伏击</t>
    </r>
    <phoneticPr fontId="3" type="noConversion"/>
  </si>
  <si>
    <t>am+bush</t>
    <phoneticPr fontId="3" type="noConversion"/>
  </si>
  <si>
    <r>
      <t xml:space="preserve">adj. </t>
    </r>
    <r>
      <rPr>
        <sz val="18"/>
        <rFont val="宋体"/>
        <family val="3"/>
        <charset val="134"/>
      </rPr>
      <t>对</t>
    </r>
    <r>
      <rPr>
        <sz val="18"/>
        <rFont val="Times New Roman"/>
        <family val="1"/>
      </rPr>
      <t>…</t>
    </r>
    <r>
      <rPr>
        <sz val="18"/>
        <rFont val="宋体"/>
        <family val="3"/>
        <charset val="134"/>
      </rPr>
      <t>过敏的；对</t>
    </r>
    <r>
      <rPr>
        <sz val="18"/>
        <rFont val="Times New Roman"/>
        <family val="1"/>
      </rPr>
      <t>…</t>
    </r>
    <r>
      <rPr>
        <sz val="18"/>
        <rFont val="宋体"/>
        <family val="3"/>
        <charset val="134"/>
      </rPr>
      <t>极讨厌的</t>
    </r>
    <phoneticPr fontId="3" type="noConversion"/>
  </si>
  <si>
    <t>energy</t>
    <phoneticPr fontId="3" type="noConversion"/>
  </si>
  <si>
    <r>
      <t xml:space="preserve">vt. </t>
    </r>
    <r>
      <rPr>
        <sz val="18"/>
        <rFont val="宋体"/>
        <family val="3"/>
        <charset val="134"/>
      </rPr>
      <t>积聚，积累</t>
    </r>
    <phoneticPr fontId="3" type="noConversion"/>
  </si>
  <si>
    <t>mass</t>
    <phoneticPr fontId="3" type="noConversion"/>
  </si>
  <si>
    <r>
      <t xml:space="preserve">n. </t>
    </r>
    <r>
      <rPr>
        <sz val="18"/>
        <rFont val="宋体"/>
        <family val="3"/>
        <charset val="134"/>
      </rPr>
      <t>气氛，布景；周围环境</t>
    </r>
    <phoneticPr fontId="3" type="noConversion"/>
  </si>
  <si>
    <t>ambi([PIE]ambhi(around))</t>
    <phoneticPr fontId="3" type="noConversion"/>
  </si>
  <si>
    <r>
      <t xml:space="preserve">n. </t>
    </r>
    <r>
      <rPr>
        <sz val="18"/>
        <rFont val="宋体"/>
        <family val="3"/>
        <charset val="134"/>
      </rPr>
      <t>健忘症，</t>
    </r>
    <r>
      <rPr>
        <sz val="18"/>
        <rFont val="Times New Roman"/>
        <family val="1"/>
      </rPr>
      <t>[</t>
    </r>
    <r>
      <rPr>
        <sz val="18"/>
        <rFont val="宋体"/>
        <family val="3"/>
        <charset val="134"/>
      </rPr>
      <t>内科</t>
    </r>
    <r>
      <rPr>
        <sz val="18"/>
        <rFont val="Times New Roman"/>
        <family val="1"/>
      </rPr>
      <t xml:space="preserve">] </t>
    </r>
    <r>
      <rPr>
        <sz val="18"/>
        <rFont val="宋体"/>
        <family val="3"/>
        <charset val="134"/>
      </rPr>
      <t>记忆缺失</t>
    </r>
    <phoneticPr fontId="3" type="noConversion"/>
  </si>
  <si>
    <t>mneme(memory)</t>
    <phoneticPr fontId="3" type="noConversion"/>
  </si>
  <si>
    <r>
      <t xml:space="preserve">n. </t>
    </r>
    <r>
      <rPr>
        <sz val="18"/>
        <rFont val="宋体"/>
        <family val="3"/>
        <charset val="134"/>
      </rPr>
      <t>大赦，特赦；</t>
    </r>
    <r>
      <rPr>
        <sz val="18"/>
        <rFont val="Times New Roman"/>
        <family val="1"/>
      </rPr>
      <t xml:space="preserve">vt. </t>
    </r>
    <r>
      <rPr>
        <sz val="18"/>
        <rFont val="宋体"/>
        <family val="3"/>
        <charset val="134"/>
      </rPr>
      <t>对</t>
    </r>
    <r>
      <rPr>
        <sz val="18"/>
        <rFont val="Times New Roman"/>
        <family val="1"/>
      </rPr>
      <t>…</t>
    </r>
    <r>
      <rPr>
        <sz val="18"/>
        <rFont val="宋体"/>
        <family val="3"/>
        <charset val="134"/>
      </rPr>
      <t>实行大赦</t>
    </r>
    <phoneticPr fontId="3" type="noConversion"/>
  </si>
  <si>
    <t>atom</t>
    <phoneticPr fontId="3" type="noConversion"/>
  </si>
  <si>
    <r>
      <t xml:space="preserve">n. </t>
    </r>
    <r>
      <rPr>
        <sz val="18"/>
        <rFont val="宋体"/>
        <family val="3"/>
        <charset val="134"/>
      </rPr>
      <t>解剖；解剖学；剖析；骨骼</t>
    </r>
    <phoneticPr fontId="3" type="noConversion"/>
  </si>
  <si>
    <t>antique</t>
    <phoneticPr fontId="3" type="noConversion"/>
  </si>
  <si>
    <r>
      <t xml:space="preserve">n. </t>
    </r>
    <r>
      <rPr>
        <sz val="18"/>
        <rFont val="宋体"/>
        <family val="3"/>
        <charset val="134"/>
      </rPr>
      <t>古物研究，好古癖</t>
    </r>
    <phoneticPr fontId="3" type="noConversion"/>
  </si>
  <si>
    <r>
      <t xml:space="preserve">n. </t>
    </r>
    <r>
      <rPr>
        <sz val="18"/>
        <rFont val="宋体"/>
        <family val="3"/>
        <charset val="134"/>
      </rPr>
      <t>痛苦；苦恼；</t>
    </r>
    <r>
      <rPr>
        <sz val="18"/>
        <rFont val="Times New Roman"/>
        <family val="1"/>
      </rPr>
      <t xml:space="preserve">vt. </t>
    </r>
    <r>
      <rPr>
        <sz val="18"/>
        <rFont val="宋体"/>
        <family val="3"/>
        <charset val="134"/>
      </rPr>
      <t>使极度痛苦；</t>
    </r>
    <r>
      <rPr>
        <sz val="18"/>
        <rFont val="Times New Roman"/>
        <family val="1"/>
      </rPr>
      <t xml:space="preserve">vi. </t>
    </r>
    <r>
      <rPr>
        <sz val="18"/>
        <rFont val="宋体"/>
        <family val="3"/>
        <charset val="134"/>
      </rPr>
      <t>感到极度的痛苦</t>
    </r>
    <phoneticPr fontId="3" type="noConversion"/>
  </si>
  <si>
    <t>anger</t>
    <phoneticPr fontId="3" type="noConversion"/>
  </si>
  <si>
    <t>animus+advert</t>
    <phoneticPr fontId="3" type="noConversion"/>
  </si>
  <si>
    <r>
      <t xml:space="preserve">vi. </t>
    </r>
    <r>
      <rPr>
        <sz val="18"/>
        <rFont val="宋体"/>
        <family val="3"/>
        <charset val="134"/>
      </rPr>
      <t>批判；非难；责备</t>
    </r>
    <phoneticPr fontId="3" type="noConversion"/>
  </si>
  <si>
    <t>anneal</t>
    <phoneticPr fontId="3" type="noConversion"/>
  </si>
  <si>
    <t>annihilate</t>
    <phoneticPr fontId="3" type="noConversion"/>
  </si>
  <si>
    <t>anthem</t>
    <phoneticPr fontId="3" type="noConversion"/>
  </si>
  <si>
    <t>anticipate</t>
    <phoneticPr fontId="3" type="noConversion"/>
  </si>
  <si>
    <t>anvil</t>
    <phoneticPr fontId="3" type="noConversion"/>
  </si>
  <si>
    <t>aplomb</t>
    <phoneticPr fontId="3" type="noConversion"/>
  </si>
  <si>
    <t>appraise</t>
    <phoneticPr fontId="3" type="noConversion"/>
  </si>
  <si>
    <t>apprentice</t>
    <phoneticPr fontId="3" type="noConversion"/>
  </si>
  <si>
    <t>apron</t>
    <phoneticPr fontId="3" type="noConversion"/>
  </si>
  <si>
    <t>aquiline</t>
    <phoneticPr fontId="3" type="noConversion"/>
  </si>
  <si>
    <t>arbitrate</t>
    <phoneticPr fontId="3" type="noConversion"/>
  </si>
  <si>
    <t>archer</t>
    <phoneticPr fontId="3" type="noConversion"/>
  </si>
  <si>
    <t>ardent</t>
    <phoneticPr fontId="3" type="noConversion"/>
  </si>
  <si>
    <t>arraign</t>
    <phoneticPr fontId="3" type="noConversion"/>
  </si>
  <si>
    <t>arson</t>
    <phoneticPr fontId="3" type="noConversion"/>
  </si>
  <si>
    <t>ashen</t>
    <phoneticPr fontId="3" type="noConversion"/>
  </si>
  <si>
    <t>asinine</t>
    <phoneticPr fontId="3" type="noConversion"/>
  </si>
  <si>
    <t>askance</t>
    <phoneticPr fontId="3" type="noConversion"/>
  </si>
  <si>
    <t>assault</t>
    <phoneticPr fontId="3" type="noConversion"/>
  </si>
  <si>
    <t>assemble</t>
    <phoneticPr fontId="3" type="noConversion"/>
  </si>
  <si>
    <t>assoil</t>
    <phoneticPr fontId="3" type="noConversion"/>
  </si>
  <si>
    <t>asterisk</t>
    <phoneticPr fontId="3" type="noConversion"/>
  </si>
  <si>
    <t>astrology</t>
    <phoneticPr fontId="3" type="noConversion"/>
  </si>
  <si>
    <t>atheism</t>
    <phoneticPr fontId="3" type="noConversion"/>
  </si>
  <si>
    <t>atonal</t>
    <phoneticPr fontId="3" type="noConversion"/>
  </si>
  <si>
    <t>attire</t>
    <phoneticPr fontId="3" type="noConversion"/>
  </si>
  <si>
    <t>auxiliary</t>
    <phoneticPr fontId="3" type="noConversion"/>
  </si>
  <si>
    <t>avert</t>
    <phoneticPr fontId="3" type="noConversion"/>
  </si>
  <si>
    <t>zephyr</t>
    <phoneticPr fontId="1" type="noConversion"/>
  </si>
  <si>
    <t>zone</t>
    <phoneticPr fontId="1" type="noConversion"/>
  </si>
  <si>
    <t>zoom</t>
    <phoneticPr fontId="1" type="noConversion"/>
  </si>
  <si>
    <t>n. 和风；西风；轻薄织物</t>
  </si>
  <si>
    <r>
      <t>[</t>
    </r>
    <r>
      <rPr>
        <sz val="18"/>
        <rFont val="宋体"/>
        <family val="3"/>
        <charset val="134"/>
      </rPr>
      <t>希</t>
    </r>
    <r>
      <rPr>
        <sz val="18"/>
        <rFont val="Times New Roman"/>
        <family val="1"/>
      </rPr>
      <t>]Zephyros(</t>
    </r>
    <r>
      <rPr>
        <sz val="18"/>
        <rFont val="宋体"/>
        <family val="3"/>
        <charset val="134"/>
      </rPr>
      <t>西风之神</t>
    </r>
    <r>
      <rPr>
        <sz val="18"/>
        <rFont val="Times New Roman"/>
        <family val="1"/>
      </rPr>
      <t>)</t>
    </r>
    <phoneticPr fontId="1" type="noConversion"/>
  </si>
  <si>
    <t>[PIE]yos(gird)</t>
    <phoneticPr fontId="1" type="noConversion"/>
  </si>
  <si>
    <r>
      <t xml:space="preserve">n. </t>
    </r>
    <r>
      <rPr>
        <sz val="18"/>
        <rFont val="宋体"/>
        <family val="3"/>
        <charset val="134"/>
      </rPr>
      <t>地带；地区；联防；</t>
    </r>
    <r>
      <rPr>
        <sz val="18"/>
        <rFont val="Times New Roman"/>
        <family val="1"/>
      </rPr>
      <t xml:space="preserve">vi. </t>
    </r>
    <r>
      <rPr>
        <sz val="18"/>
        <rFont val="宋体"/>
        <family val="3"/>
        <charset val="134"/>
      </rPr>
      <t>分成区；</t>
    </r>
    <r>
      <rPr>
        <sz val="18"/>
        <rFont val="Times New Roman"/>
        <family val="1"/>
      </rPr>
      <t xml:space="preserve">vt. </t>
    </r>
    <r>
      <rPr>
        <sz val="18"/>
        <rFont val="宋体"/>
        <family val="3"/>
        <charset val="134"/>
      </rPr>
      <t>使分成地带；环绕</t>
    </r>
    <phoneticPr fontId="1" type="noConversion"/>
  </si>
  <si>
    <r>
      <t xml:space="preserve">n. </t>
    </r>
    <r>
      <rPr>
        <sz val="18"/>
        <rFont val="宋体"/>
        <family val="3"/>
        <charset val="134"/>
      </rPr>
      <t>急速上升；嗡嗡声；</t>
    </r>
    <r>
      <rPr>
        <sz val="18"/>
        <rFont val="Times New Roman"/>
        <family val="1"/>
      </rPr>
      <t>[</t>
    </r>
    <r>
      <rPr>
        <sz val="18"/>
        <rFont val="宋体"/>
        <family val="3"/>
        <charset val="134"/>
      </rPr>
      <t>摄</t>
    </r>
    <r>
      <rPr>
        <sz val="18"/>
        <rFont val="Times New Roman"/>
        <family val="1"/>
      </rPr>
      <t xml:space="preserve">] </t>
    </r>
    <r>
      <rPr>
        <sz val="18"/>
        <rFont val="宋体"/>
        <family val="3"/>
        <charset val="134"/>
      </rPr>
      <t>变焦摄影；</t>
    </r>
    <r>
      <rPr>
        <sz val="18"/>
        <rFont val="Times New Roman"/>
        <family val="1"/>
      </rPr>
      <t xml:space="preserve">vi. </t>
    </r>
    <r>
      <rPr>
        <sz val="18"/>
        <rFont val="宋体"/>
        <family val="3"/>
        <charset val="134"/>
      </rPr>
      <t>急速上升；摄象机移动；</t>
    </r>
    <r>
      <rPr>
        <sz val="18"/>
        <rFont val="Times New Roman"/>
        <family val="1"/>
      </rPr>
      <t xml:space="preserve">vt. </t>
    </r>
    <r>
      <rPr>
        <sz val="18"/>
        <rFont val="宋体"/>
        <family val="3"/>
        <charset val="134"/>
      </rPr>
      <t>使摄象机移动</t>
    </r>
    <phoneticPr fontId="1" type="noConversion"/>
  </si>
  <si>
    <t>拟声词</t>
    <phoneticPr fontId="1" type="noConversion"/>
  </si>
  <si>
    <r>
      <t xml:space="preserve">n. </t>
    </r>
    <r>
      <rPr>
        <sz val="18"/>
        <rFont val="宋体"/>
        <family val="3"/>
        <charset val="134"/>
      </rPr>
      <t>围裙；</t>
    </r>
    <r>
      <rPr>
        <sz val="18"/>
        <rFont val="Times New Roman"/>
        <family val="1"/>
      </rPr>
      <t>[</t>
    </r>
    <r>
      <rPr>
        <sz val="18"/>
        <rFont val="宋体"/>
        <family val="3"/>
        <charset val="134"/>
      </rPr>
      <t>航</t>
    </r>
    <r>
      <rPr>
        <sz val="18"/>
        <rFont val="Times New Roman"/>
        <family val="1"/>
      </rPr>
      <t xml:space="preserve">] </t>
    </r>
    <r>
      <rPr>
        <sz val="18"/>
        <rFont val="宋体"/>
        <family val="3"/>
        <charset val="134"/>
      </rPr>
      <t>停机坪；舞台口；</t>
    </r>
    <r>
      <rPr>
        <sz val="18"/>
        <rFont val="Times New Roman"/>
        <family val="1"/>
      </rPr>
      <t xml:space="preserve">vt. </t>
    </r>
    <r>
      <rPr>
        <sz val="18"/>
        <rFont val="宋体"/>
        <family val="3"/>
        <charset val="134"/>
      </rPr>
      <t>着围裙于；围绕</t>
    </r>
    <phoneticPr fontId="3" type="noConversion"/>
  </si>
  <si>
    <t>a napron(napkin)</t>
    <phoneticPr fontId="3" type="noConversion"/>
  </si>
  <si>
    <t>=appeal</t>
    <phoneticPr fontId="3" type="noConversion"/>
  </si>
  <si>
    <r>
      <t xml:space="preserve">n. </t>
    </r>
    <r>
      <rPr>
        <sz val="18"/>
        <rFont val="宋体"/>
        <family val="3"/>
        <charset val="134"/>
      </rPr>
      <t>铁砧；</t>
    </r>
    <r>
      <rPr>
        <sz val="18"/>
        <rFont val="Times New Roman"/>
        <family val="1"/>
      </rPr>
      <t>[</t>
    </r>
    <r>
      <rPr>
        <sz val="18"/>
        <rFont val="宋体"/>
        <family val="3"/>
        <charset val="134"/>
      </rPr>
      <t>解剖</t>
    </r>
    <r>
      <rPr>
        <sz val="18"/>
        <rFont val="Times New Roman"/>
        <family val="1"/>
      </rPr>
      <t xml:space="preserve">] </t>
    </r>
    <r>
      <rPr>
        <sz val="18"/>
        <rFont val="宋体"/>
        <family val="3"/>
        <charset val="134"/>
      </rPr>
      <t>砧骨</t>
    </r>
    <phoneticPr fontId="3" type="noConversion"/>
  </si>
  <si>
    <r>
      <t xml:space="preserve">vt. </t>
    </r>
    <r>
      <rPr>
        <sz val="18"/>
        <rFont val="宋体"/>
        <family val="3"/>
        <charset val="134"/>
      </rPr>
      <t>歼灭；战胜；废止；</t>
    </r>
    <r>
      <rPr>
        <sz val="18"/>
        <rFont val="Times New Roman"/>
        <family val="1"/>
      </rPr>
      <t xml:space="preserve">vi. </t>
    </r>
    <r>
      <rPr>
        <sz val="18"/>
        <rFont val="宋体"/>
        <family val="3"/>
        <charset val="134"/>
      </rPr>
      <t>湮灭；湮没</t>
    </r>
    <phoneticPr fontId="3" type="noConversion"/>
  </si>
  <si>
    <t>nil</t>
    <phoneticPr fontId="3" type="noConversion"/>
  </si>
  <si>
    <r>
      <t xml:space="preserve">adj. </t>
    </r>
    <r>
      <rPr>
        <sz val="18"/>
        <rFont val="宋体"/>
        <family val="3"/>
        <charset val="134"/>
      </rPr>
      <t>蔚蓝的；</t>
    </r>
    <r>
      <rPr>
        <sz val="18"/>
        <rFont val="Times New Roman"/>
        <family val="1"/>
      </rPr>
      <t xml:space="preserve">n. </t>
    </r>
    <r>
      <rPr>
        <sz val="18"/>
        <rFont val="宋体"/>
        <family val="3"/>
        <charset val="134"/>
      </rPr>
      <t>天蓝色；碧空</t>
    </r>
    <phoneticPr fontId="3" type="noConversion"/>
  </si>
  <si>
    <r>
      <t>[</t>
    </r>
    <r>
      <rPr>
        <sz val="18"/>
        <rFont val="宋体"/>
        <family val="3"/>
        <charset val="134"/>
      </rPr>
      <t>波斯</t>
    </r>
    <r>
      <rPr>
        <sz val="18"/>
        <rFont val="Times New Roman"/>
        <family val="1"/>
      </rPr>
      <t>]lāzhuward(a blue semiprecious stone)</t>
    </r>
    <phoneticPr fontId="3" type="noConversion"/>
  </si>
  <si>
    <t>=appreciate</t>
    <phoneticPr fontId="3" type="noConversion"/>
  </si>
  <si>
    <r>
      <t xml:space="preserve">vt. </t>
    </r>
    <r>
      <rPr>
        <sz val="18"/>
        <rFont val="宋体"/>
        <family val="3"/>
        <charset val="134"/>
      </rPr>
      <t>评价，鉴定；估价</t>
    </r>
    <phoneticPr fontId="3" type="noConversion"/>
  </si>
  <si>
    <r>
      <t>antiphon(</t>
    </r>
    <r>
      <rPr>
        <sz val="18"/>
        <rFont val="宋体"/>
        <family val="3"/>
        <charset val="134"/>
      </rPr>
      <t>对歌</t>
    </r>
    <r>
      <rPr>
        <sz val="18"/>
        <rFont val="Times New Roman"/>
        <family val="1"/>
      </rPr>
      <t>)</t>
    </r>
    <phoneticPr fontId="3" type="noConversion"/>
  </si>
  <si>
    <r>
      <t xml:space="preserve">n. </t>
    </r>
    <r>
      <rPr>
        <sz val="18"/>
        <rFont val="宋体"/>
        <family val="3"/>
        <charset val="134"/>
      </rPr>
      <t>赞美诗；圣歌；</t>
    </r>
    <r>
      <rPr>
        <sz val="18"/>
        <rFont val="Times New Roman"/>
        <family val="1"/>
      </rPr>
      <t xml:space="preserve">vt. </t>
    </r>
    <r>
      <rPr>
        <sz val="18"/>
        <rFont val="宋体"/>
        <family val="3"/>
        <charset val="134"/>
      </rPr>
      <t>唱圣歌庆祝；唱赞歌</t>
    </r>
    <phoneticPr fontId="3" type="noConversion"/>
  </si>
  <si>
    <r>
      <t xml:space="preserve">n. </t>
    </r>
    <r>
      <rPr>
        <sz val="18"/>
        <rFont val="宋体"/>
        <family val="3"/>
        <charset val="134"/>
      </rPr>
      <t>学徒；生手；</t>
    </r>
    <r>
      <rPr>
        <sz val="18"/>
        <rFont val="Times New Roman"/>
        <family val="1"/>
      </rPr>
      <t xml:space="preserve">v. </t>
    </r>
    <r>
      <rPr>
        <sz val="18"/>
        <rFont val="宋体"/>
        <family val="3"/>
        <charset val="134"/>
      </rPr>
      <t>当学徒</t>
    </r>
    <phoneticPr fontId="3" type="noConversion"/>
  </si>
  <si>
    <t>=apprehension(fear)</t>
    <phoneticPr fontId="3" type="noConversion"/>
  </si>
  <si>
    <t xml:space="preserve">ante(=ante(before))+capere(=capable(take)) </t>
    <phoneticPr fontId="3" type="noConversion"/>
  </si>
  <si>
    <r>
      <t xml:space="preserve">vt. </t>
    </r>
    <r>
      <rPr>
        <sz val="18"/>
        <rFont val="宋体"/>
        <family val="3"/>
        <charset val="134"/>
      </rPr>
      <t>预期，期望；占先，抢先；提前使用</t>
    </r>
    <phoneticPr fontId="3" type="noConversion"/>
  </si>
  <si>
    <t>soil</t>
    <phoneticPr fontId="3" type="noConversion"/>
  </si>
  <si>
    <r>
      <t xml:space="preserve">vt. </t>
    </r>
    <r>
      <rPr>
        <sz val="18"/>
        <rFont val="宋体"/>
        <family val="3"/>
        <charset val="134"/>
      </rPr>
      <t>补偿；赦免，宣布</t>
    </r>
    <r>
      <rPr>
        <sz val="18"/>
        <rFont val="Times New Roman"/>
        <family val="1"/>
      </rPr>
      <t>……</t>
    </r>
    <r>
      <rPr>
        <sz val="18"/>
        <rFont val="宋体"/>
        <family val="3"/>
        <charset val="134"/>
      </rPr>
      <t>无罪</t>
    </r>
    <phoneticPr fontId="3" type="noConversion"/>
  </si>
  <si>
    <r>
      <t xml:space="preserve">vt. </t>
    </r>
    <r>
      <rPr>
        <sz val="18"/>
        <rFont val="宋体"/>
        <family val="3"/>
        <charset val="134"/>
      </rPr>
      <t>使退火，韧炼；锻炼；</t>
    </r>
    <r>
      <rPr>
        <sz val="18"/>
        <rFont val="Times New Roman"/>
        <family val="1"/>
      </rPr>
      <t xml:space="preserve">n. </t>
    </r>
    <r>
      <rPr>
        <sz val="18"/>
        <rFont val="宋体"/>
        <family val="3"/>
        <charset val="134"/>
      </rPr>
      <t>退火；锻炼，磨练</t>
    </r>
    <phoneticPr fontId="3" type="noConversion"/>
  </si>
  <si>
    <t>onælan((on+ælan(burn, bake)), set on fire, kindle)</t>
    <phoneticPr fontId="3" type="noConversion"/>
  </si>
  <si>
    <t>stima</t>
    <phoneticPr fontId="3" type="noConversion"/>
  </si>
  <si>
    <r>
      <t xml:space="preserve">adj. </t>
    </r>
    <r>
      <rPr>
        <sz val="18"/>
        <rFont val="宋体"/>
        <family val="3"/>
        <charset val="134"/>
      </rPr>
      <t>散光的；乱视的；矫正散光的</t>
    </r>
    <phoneticPr fontId="3" type="noConversion"/>
  </si>
  <si>
    <r>
      <t xml:space="preserve">adj. </t>
    </r>
    <r>
      <rPr>
        <sz val="18"/>
        <rFont val="宋体"/>
        <family val="3"/>
        <charset val="134"/>
      </rPr>
      <t>灰色的；苍白的</t>
    </r>
    <phoneticPr fontId="3" type="noConversion"/>
  </si>
  <si>
    <t>ash</t>
    <phoneticPr fontId="3" type="noConversion"/>
  </si>
  <si>
    <t>vt. 传讯，控告；责难，指责</t>
  </si>
  <si>
    <t>=ration</t>
    <phoneticPr fontId="3" type="noConversion"/>
  </si>
  <si>
    <t>ab(from, away)+vertere(turn)</t>
    <phoneticPr fontId="3" type="noConversion"/>
  </si>
  <si>
    <r>
      <t xml:space="preserve">vt. </t>
    </r>
    <r>
      <rPr>
        <sz val="18"/>
        <rFont val="宋体"/>
        <family val="3"/>
        <charset val="134"/>
      </rPr>
      <t>避免，防止；转移</t>
    </r>
    <phoneticPr fontId="3" type="noConversion"/>
  </si>
  <si>
    <r>
      <t xml:space="preserve">n. </t>
    </r>
    <r>
      <rPr>
        <sz val="18"/>
        <rFont val="宋体"/>
        <family val="3"/>
        <charset val="134"/>
      </rPr>
      <t>纵火；纵火罪</t>
    </r>
    <phoneticPr fontId="3" type="noConversion"/>
  </si>
  <si>
    <r>
      <t>[</t>
    </r>
    <r>
      <rPr>
        <sz val="18"/>
        <rFont val="宋体"/>
        <family val="3"/>
        <charset val="134"/>
      </rPr>
      <t>拉</t>
    </r>
    <r>
      <rPr>
        <sz val="18"/>
        <rFont val="Times New Roman"/>
        <family val="1"/>
      </rPr>
      <t>]ardēre(burn)</t>
    </r>
    <phoneticPr fontId="3" type="noConversion"/>
  </si>
  <si>
    <r>
      <t xml:space="preserve">n. </t>
    </r>
    <r>
      <rPr>
        <sz val="18"/>
        <rFont val="宋体"/>
        <family val="3"/>
        <charset val="134"/>
      </rPr>
      <t>星号；</t>
    </r>
    <r>
      <rPr>
        <sz val="18"/>
        <rFont val="Times New Roman"/>
        <family val="1"/>
      </rPr>
      <t xml:space="preserve">vt. </t>
    </r>
    <r>
      <rPr>
        <sz val="18"/>
        <rFont val="宋体"/>
        <family val="3"/>
        <charset val="134"/>
      </rPr>
      <t>注上星号；用星号标出</t>
    </r>
    <phoneticPr fontId="3" type="noConversion"/>
  </si>
  <si>
    <t>aster(star)</t>
    <phoneticPr fontId="3" type="noConversion"/>
  </si>
  <si>
    <r>
      <t xml:space="preserve">n. </t>
    </r>
    <r>
      <rPr>
        <sz val="18"/>
        <rFont val="宋体"/>
        <family val="3"/>
        <charset val="134"/>
      </rPr>
      <t>副业；业余爱好；嗜好</t>
    </r>
    <phoneticPr fontId="3" type="noConversion"/>
  </si>
  <si>
    <t>avocation</t>
    <phoneticPr fontId="3" type="noConversion"/>
  </si>
  <si>
    <t>a+vocation</t>
    <phoneticPr fontId="3" type="noConversion"/>
  </si>
  <si>
    <r>
      <t xml:space="preserve">adj. </t>
    </r>
    <r>
      <rPr>
        <sz val="18"/>
        <rFont val="宋体"/>
        <family val="3"/>
        <charset val="134"/>
      </rPr>
      <t>鹰的；似鹰的，像鹰的；钩状的</t>
    </r>
    <phoneticPr fontId="3" type="noConversion"/>
  </si>
  <si>
    <r>
      <t>[</t>
    </r>
    <r>
      <rPr>
        <sz val="18"/>
        <rFont val="宋体"/>
        <family val="3"/>
        <charset val="134"/>
      </rPr>
      <t>拉</t>
    </r>
    <r>
      <rPr>
        <sz val="18"/>
        <rFont val="Times New Roman"/>
        <family val="1"/>
      </rPr>
      <t>]aquila(eagle)</t>
    </r>
    <phoneticPr fontId="3" type="noConversion"/>
  </si>
  <si>
    <t>a+tonal</t>
    <phoneticPr fontId="3" type="noConversion"/>
  </si>
  <si>
    <r>
      <t xml:space="preserve">adj. </t>
    </r>
    <r>
      <rPr>
        <sz val="18"/>
        <rFont val="宋体"/>
        <family val="3"/>
        <charset val="134"/>
      </rPr>
      <t>（音乐）无调的</t>
    </r>
    <phoneticPr fontId="3" type="noConversion"/>
  </si>
  <si>
    <r>
      <t xml:space="preserve">n. </t>
    </r>
    <r>
      <rPr>
        <sz val="18"/>
        <rFont val="宋体"/>
        <family val="3"/>
        <charset val="134"/>
      </rPr>
      <t>服装；盛装；</t>
    </r>
    <r>
      <rPr>
        <sz val="18"/>
        <rFont val="Times New Roman"/>
        <family val="1"/>
      </rPr>
      <t xml:space="preserve">vt. </t>
    </r>
    <r>
      <rPr>
        <sz val="18"/>
        <rFont val="宋体"/>
        <family val="3"/>
        <charset val="134"/>
      </rPr>
      <t>打扮；使穿衣</t>
    </r>
    <phoneticPr fontId="3" type="noConversion"/>
  </si>
  <si>
    <t>tire(order, row, dress)</t>
    <phoneticPr fontId="3" type="noConversion"/>
  </si>
  <si>
    <r>
      <t>[</t>
    </r>
    <r>
      <rPr>
        <sz val="18"/>
        <rFont val="宋体"/>
        <family val="3"/>
        <charset val="134"/>
      </rPr>
      <t>拉</t>
    </r>
    <r>
      <rPr>
        <sz val="18"/>
        <rFont val="Times New Roman"/>
        <family val="1"/>
      </rPr>
      <t>]auxiliaris(helpful)</t>
    </r>
    <phoneticPr fontId="3" type="noConversion"/>
  </si>
  <si>
    <r>
      <t xml:space="preserve">n. </t>
    </r>
    <r>
      <rPr>
        <sz val="18"/>
        <rFont val="宋体"/>
        <family val="3"/>
        <charset val="134"/>
      </rPr>
      <t>助动词；辅助者，辅助物；附属机构；</t>
    </r>
    <r>
      <rPr>
        <sz val="18"/>
        <rFont val="Times New Roman"/>
        <family val="1"/>
      </rPr>
      <t xml:space="preserve">adj. </t>
    </r>
    <r>
      <rPr>
        <sz val="18"/>
        <rFont val="宋体"/>
        <family val="3"/>
        <charset val="134"/>
      </rPr>
      <t>辅助的；副的；附加的</t>
    </r>
    <phoneticPr fontId="3" type="noConversion"/>
  </si>
  <si>
    <t>=ass</t>
    <phoneticPr fontId="3" type="noConversion"/>
  </si>
  <si>
    <r>
      <t xml:space="preserve">adj. </t>
    </r>
    <r>
      <rPr>
        <sz val="18"/>
        <rFont val="宋体"/>
        <family val="3"/>
        <charset val="134"/>
      </rPr>
      <t>驴的；愚蠢的，固执的；驴子似的</t>
    </r>
    <phoneticPr fontId="3" type="noConversion"/>
  </si>
  <si>
    <t>=art</t>
    <phoneticPr fontId="3" type="noConversion"/>
  </si>
  <si>
    <r>
      <t xml:space="preserve">n. </t>
    </r>
    <r>
      <rPr>
        <sz val="18"/>
        <rFont val="宋体"/>
        <family val="3"/>
        <charset val="134"/>
      </rPr>
      <t>工匠，技工</t>
    </r>
    <phoneticPr fontId="3" type="noConversion"/>
  </si>
  <si>
    <r>
      <t xml:space="preserve">n. </t>
    </r>
    <r>
      <rPr>
        <sz val="18"/>
        <rFont val="宋体"/>
        <family val="3"/>
        <charset val="134"/>
      </rPr>
      <t>摩擦；磨损；消耗</t>
    </r>
    <phoneticPr fontId="3" type="noConversion"/>
  </si>
  <si>
    <r>
      <t>[</t>
    </r>
    <r>
      <rPr>
        <sz val="18"/>
        <rFont val="宋体"/>
        <family val="3"/>
        <charset val="134"/>
      </rPr>
      <t>立陶宛语</t>
    </r>
    <r>
      <rPr>
        <sz val="18"/>
        <rFont val="Times New Roman"/>
        <family val="1"/>
      </rPr>
      <t>]trinù(rub, file, saw)</t>
    </r>
    <phoneticPr fontId="3" type="noConversion"/>
  </si>
  <si>
    <r>
      <t xml:space="preserve">n. </t>
    </r>
    <r>
      <rPr>
        <sz val="18"/>
        <rFont val="宋体"/>
        <family val="3"/>
        <charset val="134"/>
      </rPr>
      <t>不信神，无神论</t>
    </r>
    <phoneticPr fontId="3" type="noConversion"/>
  </si>
  <si>
    <t>theos(a god)</t>
    <phoneticPr fontId="3" type="noConversion"/>
  </si>
  <si>
    <r>
      <t xml:space="preserve">n. </t>
    </r>
    <r>
      <rPr>
        <sz val="18"/>
        <rFont val="宋体"/>
        <family val="3"/>
        <charset val="134"/>
      </rPr>
      <t>占星术；占星学；星座</t>
    </r>
    <phoneticPr fontId="3" type="noConversion"/>
  </si>
  <si>
    <t>astro</t>
    <phoneticPr fontId="3" type="noConversion"/>
  </si>
  <si>
    <t>stray</t>
    <phoneticPr fontId="3" type="noConversion"/>
  </si>
  <si>
    <r>
      <t xml:space="preserve">adv. </t>
    </r>
    <r>
      <rPr>
        <sz val="18"/>
        <rFont val="宋体"/>
        <family val="3"/>
        <charset val="134"/>
      </rPr>
      <t>误入歧途地；迷途地；迷路；</t>
    </r>
    <r>
      <rPr>
        <sz val="18"/>
        <rFont val="Times New Roman"/>
        <family val="1"/>
      </rPr>
      <t xml:space="preserve">adj. </t>
    </r>
    <r>
      <rPr>
        <sz val="18"/>
        <rFont val="宋体"/>
        <family val="3"/>
        <charset val="134"/>
      </rPr>
      <t>迷路的；离开正道的；不对头的</t>
    </r>
    <phoneticPr fontId="3" type="noConversion"/>
  </si>
  <si>
    <r>
      <t xml:space="preserve">vt. </t>
    </r>
    <r>
      <rPr>
        <sz val="18"/>
        <rFont val="宋体"/>
        <family val="3"/>
        <charset val="134"/>
      </rPr>
      <t>仲裁；公断</t>
    </r>
    <phoneticPr fontId="3" type="noConversion"/>
  </si>
  <si>
    <t>=arbiter</t>
    <phoneticPr fontId="3" type="noConversion"/>
  </si>
  <si>
    <r>
      <t xml:space="preserve">n. </t>
    </r>
    <r>
      <rPr>
        <sz val="18"/>
        <rFont val="宋体"/>
        <family val="3"/>
        <charset val="134"/>
      </rPr>
      <t>档案馆；档案文件；</t>
    </r>
    <r>
      <rPr>
        <sz val="18"/>
        <rFont val="Times New Roman"/>
        <family val="1"/>
      </rPr>
      <t xml:space="preserve">vt. </t>
    </r>
    <r>
      <rPr>
        <sz val="18"/>
        <rFont val="宋体"/>
        <family val="3"/>
        <charset val="134"/>
      </rPr>
      <t>把</t>
    </r>
    <r>
      <rPr>
        <sz val="18"/>
        <rFont val="Times New Roman"/>
        <family val="1"/>
      </rPr>
      <t>…</t>
    </r>
    <r>
      <rPr>
        <sz val="18"/>
        <rFont val="宋体"/>
        <family val="3"/>
        <charset val="134"/>
      </rPr>
      <t>存档</t>
    </r>
    <phoneticPr fontId="3" type="noConversion"/>
  </si>
  <si>
    <r>
      <t xml:space="preserve">adj. </t>
    </r>
    <r>
      <rPr>
        <sz val="18"/>
        <rFont val="宋体"/>
        <family val="3"/>
        <charset val="134"/>
      </rPr>
      <t>热情的；热心的；激烈的；燃烧般的</t>
    </r>
    <phoneticPr fontId="3" type="noConversion"/>
  </si>
  <si>
    <t>[PIE]as(burn, glow)</t>
    <phoneticPr fontId="3" type="noConversion"/>
  </si>
  <si>
    <r>
      <t xml:space="preserve">n. </t>
    </r>
    <r>
      <rPr>
        <sz val="18"/>
        <rFont val="宋体"/>
        <family val="3"/>
        <charset val="134"/>
      </rPr>
      <t>弓箭手</t>
    </r>
    <phoneticPr fontId="3" type="noConversion"/>
  </si>
  <si>
    <t>arch</t>
    <phoneticPr fontId="3" type="noConversion"/>
  </si>
  <si>
    <t>archon(beginning)</t>
    <phoneticPr fontId="3" type="noConversion"/>
  </si>
  <si>
    <r>
      <t xml:space="preserve">adv. </t>
    </r>
    <r>
      <rPr>
        <sz val="18"/>
        <rFont val="宋体"/>
        <family val="3"/>
        <charset val="134"/>
      </rPr>
      <t>怀疑地；斜视地</t>
    </r>
    <phoneticPr fontId="3" type="noConversion"/>
  </si>
  <si>
    <t>=askew</t>
    <phoneticPr fontId="3" type="noConversion"/>
  </si>
  <si>
    <r>
      <t xml:space="preserve">v. </t>
    </r>
    <r>
      <rPr>
        <sz val="18"/>
        <rFont val="宋体"/>
        <family val="3"/>
        <charset val="134"/>
      </rPr>
      <t>集合，聚集；装配；收集</t>
    </r>
    <phoneticPr fontId="3" type="noConversion"/>
  </si>
  <si>
    <t>=similar</t>
    <phoneticPr fontId="3" type="noConversion"/>
  </si>
  <si>
    <r>
      <t xml:space="preserve">n. </t>
    </r>
    <r>
      <rPr>
        <sz val="18"/>
        <rFont val="宋体"/>
        <family val="3"/>
        <charset val="134"/>
      </rPr>
      <t>攻击；袭击；</t>
    </r>
    <r>
      <rPr>
        <sz val="18"/>
        <rFont val="Times New Roman"/>
        <family val="1"/>
      </rPr>
      <t xml:space="preserve">vt. </t>
    </r>
    <r>
      <rPr>
        <sz val="18"/>
        <rFont val="宋体"/>
        <family val="3"/>
        <charset val="134"/>
      </rPr>
      <t>攻击；袭击</t>
    </r>
    <phoneticPr fontId="3" type="noConversion"/>
  </si>
  <si>
    <t>=assail</t>
    <phoneticPr fontId="3" type="noConversion"/>
  </si>
  <si>
    <r>
      <t xml:space="preserve">n. </t>
    </r>
    <r>
      <rPr>
        <sz val="18"/>
        <rFont val="宋体"/>
        <family val="3"/>
        <charset val="134"/>
      </rPr>
      <t>沉着；垂直；泰然自若</t>
    </r>
    <phoneticPr fontId="3" type="noConversion"/>
  </si>
  <si>
    <t>=plumb</t>
    <phoneticPr fontId="3" type="noConversion"/>
  </si>
  <si>
    <r>
      <t xml:space="preserve">n. </t>
    </r>
    <r>
      <rPr>
        <sz val="18"/>
        <rFont val="宋体"/>
        <family val="3"/>
        <charset val="134"/>
      </rPr>
      <t>顶点；尖端</t>
    </r>
    <phoneticPr fontId="3" type="noConversion"/>
  </si>
  <si>
    <r>
      <t>[</t>
    </r>
    <r>
      <rPr>
        <sz val="18"/>
        <rFont val="宋体"/>
        <family val="3"/>
        <charset val="134"/>
      </rPr>
      <t>拉</t>
    </r>
    <r>
      <rPr>
        <sz val="18"/>
        <rFont val="Times New Roman"/>
        <family val="1"/>
      </rPr>
      <t>]apex(summit, peak, tip, top, extreme end)</t>
    </r>
    <phoneticPr fontId="3" type="noConversion"/>
  </si>
  <si>
    <r>
      <t xml:space="preserve">adj. </t>
    </r>
    <r>
      <rPr>
        <sz val="18"/>
        <rFont val="宋体"/>
        <family val="3"/>
        <charset val="134"/>
      </rPr>
      <t>卑鄙的；低劣的</t>
    </r>
    <phoneticPr fontId="3" type="noConversion"/>
  </si>
  <si>
    <r>
      <t>[</t>
    </r>
    <r>
      <rPr>
        <sz val="18"/>
        <rFont val="宋体"/>
        <family val="3"/>
        <charset val="134"/>
      </rPr>
      <t>法</t>
    </r>
    <r>
      <rPr>
        <sz val="18"/>
        <rFont val="Times New Roman"/>
        <family val="1"/>
      </rPr>
      <t>]bas(depth)</t>
    </r>
    <phoneticPr fontId="3" type="noConversion"/>
  </si>
  <si>
    <t>bemuse</t>
    <phoneticPr fontId="3" type="noConversion"/>
  </si>
  <si>
    <t>bereave</t>
    <phoneticPr fontId="3" type="noConversion"/>
  </si>
  <si>
    <t>besiege</t>
    <phoneticPr fontId="3" type="noConversion"/>
  </si>
  <si>
    <t>bestow</t>
    <phoneticPr fontId="3" type="noConversion"/>
  </si>
  <si>
    <t>bibliomania</t>
    <phoneticPr fontId="3" type="noConversion"/>
  </si>
  <si>
    <t>bilateral</t>
    <phoneticPr fontId="3" type="noConversion"/>
  </si>
  <si>
    <t>bizarre</t>
    <phoneticPr fontId="3" type="noConversion"/>
  </si>
  <si>
    <t>bleach</t>
    <phoneticPr fontId="3" type="noConversion"/>
  </si>
  <si>
    <t>blockbuster</t>
    <phoneticPr fontId="3" type="noConversion"/>
  </si>
  <si>
    <t>bonanza</t>
    <phoneticPr fontId="3" type="noConversion"/>
  </si>
  <si>
    <t>braggart</t>
    <phoneticPr fontId="3" type="noConversion"/>
  </si>
  <si>
    <t>braid</t>
    <phoneticPr fontId="3" type="noConversion"/>
  </si>
  <si>
    <t>brink</t>
    <phoneticPr fontId="3" type="noConversion"/>
  </si>
  <si>
    <t>brutality</t>
    <phoneticPr fontId="3" type="noConversion"/>
  </si>
  <si>
    <t>buckle</t>
    <phoneticPr fontId="3" type="noConversion"/>
  </si>
  <si>
    <t>bulky</t>
    <phoneticPr fontId="3" type="noConversion"/>
  </si>
  <si>
    <t>bumper</t>
    <phoneticPr fontId="3" type="noConversion"/>
  </si>
  <si>
    <t>bygone</t>
    <phoneticPr fontId="3" type="noConversion"/>
  </si>
  <si>
    <t>backdrop</t>
    <phoneticPr fontId="3" type="noConversion"/>
  </si>
  <si>
    <t>balderdash</t>
    <phoneticPr fontId="3" type="noConversion"/>
  </si>
  <si>
    <t>ballot</t>
    <phoneticPr fontId="3" type="noConversion"/>
  </si>
  <si>
    <t>ballyhoo</t>
    <phoneticPr fontId="3" type="noConversion"/>
  </si>
  <si>
    <t>bamboozle</t>
    <phoneticPr fontId="3" type="noConversion"/>
  </si>
  <si>
    <t>barn</t>
    <phoneticPr fontId="3" type="noConversion"/>
  </si>
  <si>
    <t>barrister</t>
    <phoneticPr fontId="3" type="noConversion"/>
  </si>
  <si>
    <t>bawl</t>
    <phoneticPr fontId="3" type="noConversion"/>
  </si>
  <si>
    <t>beacon</t>
    <phoneticPr fontId="3" type="noConversion"/>
  </si>
  <si>
    <t>beam</t>
    <phoneticPr fontId="3" type="noConversion"/>
  </si>
  <si>
    <t>bearing</t>
    <phoneticPr fontId="3" type="noConversion"/>
  </si>
  <si>
    <t>beatific</t>
    <phoneticPr fontId="3" type="noConversion"/>
  </si>
  <si>
    <t>beckon</t>
    <phoneticPr fontId="3" type="noConversion"/>
  </si>
  <si>
    <t>bedraggled</t>
    <phoneticPr fontId="3" type="noConversion"/>
  </si>
  <si>
    <t>befoul</t>
    <phoneticPr fontId="3" type="noConversion"/>
  </si>
  <si>
    <t>befuddle</t>
    <phoneticPr fontId="3" type="noConversion"/>
  </si>
  <si>
    <t>beget</t>
    <phoneticPr fontId="3" type="noConversion"/>
  </si>
  <si>
    <t>begrudge</t>
    <phoneticPr fontId="3" type="noConversion"/>
  </si>
  <si>
    <t>behold</t>
    <phoneticPr fontId="3" type="noConversion"/>
  </si>
  <si>
    <t>bellow</t>
    <phoneticPr fontId="3" type="noConversion"/>
  </si>
  <si>
    <t>berserk</t>
    <phoneticPr fontId="3" type="noConversion"/>
  </si>
  <si>
    <t>besot</t>
    <phoneticPr fontId="3" type="noConversion"/>
  </si>
  <si>
    <t>betoken</t>
    <phoneticPr fontId="3" type="noConversion"/>
  </si>
  <si>
    <t>bicker</t>
    <phoneticPr fontId="3" type="noConversion"/>
  </si>
  <si>
    <t>bid</t>
    <phoneticPr fontId="3" type="noConversion"/>
  </si>
  <si>
    <t>bide</t>
    <phoneticPr fontId="3" type="noConversion"/>
  </si>
  <si>
    <t>bile</t>
    <phoneticPr fontId="3" type="noConversion"/>
  </si>
  <si>
    <t>bilk</t>
    <phoneticPr fontId="3" type="noConversion"/>
  </si>
  <si>
    <t>bin</t>
    <phoneticPr fontId="3" type="noConversion"/>
  </si>
  <si>
    <t>blackball</t>
    <phoneticPr fontId="3" type="noConversion"/>
  </si>
  <si>
    <t>blanch</t>
    <phoneticPr fontId="3" type="noConversion"/>
  </si>
  <si>
    <t>blasphemy</t>
    <phoneticPr fontId="3" type="noConversion"/>
  </si>
  <si>
    <t>blather</t>
    <phoneticPr fontId="3" type="noConversion"/>
  </si>
  <si>
    <t>bleak</t>
    <phoneticPr fontId="3" type="noConversion"/>
  </si>
  <si>
    <t>blear</t>
    <phoneticPr fontId="3" type="noConversion"/>
  </si>
  <si>
    <t>bloat</t>
    <phoneticPr fontId="3" type="noConversion"/>
  </si>
  <si>
    <t>blockade</t>
    <phoneticPr fontId="3" type="noConversion"/>
  </si>
  <si>
    <t>blockage</t>
    <phoneticPr fontId="3" type="noConversion"/>
  </si>
  <si>
    <t>bob</t>
    <phoneticPr fontId="3" type="noConversion"/>
  </si>
  <si>
    <t>n. 背景；背景幕；交流声</t>
  </si>
  <si>
    <t>back+drop</t>
    <phoneticPr fontId="3" type="noConversion"/>
  </si>
  <si>
    <r>
      <t xml:space="preserve">n. </t>
    </r>
    <r>
      <rPr>
        <sz val="18"/>
        <rFont val="宋体"/>
        <family val="3"/>
        <charset val="134"/>
      </rPr>
      <t>胡言乱语；梦呓</t>
    </r>
    <phoneticPr fontId="3" type="noConversion"/>
  </si>
  <si>
    <t>boulder+dash</t>
    <phoneticPr fontId="3" type="noConversion"/>
  </si>
  <si>
    <r>
      <t>n. [</t>
    </r>
    <r>
      <rPr>
        <sz val="18"/>
        <rFont val="宋体"/>
        <family val="3"/>
        <charset val="134"/>
      </rPr>
      <t>机</t>
    </r>
    <r>
      <rPr>
        <sz val="18"/>
        <rFont val="Times New Roman"/>
        <family val="1"/>
      </rPr>
      <t xml:space="preserve">] </t>
    </r>
    <r>
      <rPr>
        <sz val="18"/>
        <rFont val="宋体"/>
        <family val="3"/>
        <charset val="134"/>
      </rPr>
      <t>轴承；关系；方位；举止</t>
    </r>
    <phoneticPr fontId="3" type="noConversion"/>
  </si>
  <si>
    <t>bear</t>
    <phoneticPr fontId="3" type="noConversion"/>
  </si>
  <si>
    <r>
      <t xml:space="preserve">v. </t>
    </r>
    <r>
      <rPr>
        <sz val="18"/>
        <rFont val="宋体"/>
        <family val="3"/>
        <charset val="134"/>
      </rPr>
      <t>看；注视；把</t>
    </r>
    <r>
      <rPr>
        <sz val="18"/>
        <rFont val="Times New Roman"/>
        <family val="1"/>
      </rPr>
      <t>...</t>
    </r>
    <r>
      <rPr>
        <sz val="18"/>
        <rFont val="宋体"/>
        <family val="3"/>
        <charset val="134"/>
      </rPr>
      <t>视为</t>
    </r>
    <phoneticPr fontId="3" type="noConversion"/>
  </si>
  <si>
    <t>hold</t>
    <phoneticPr fontId="3" type="noConversion"/>
  </si>
  <si>
    <r>
      <t xml:space="preserve">n. </t>
    </r>
    <r>
      <rPr>
        <sz val="18"/>
        <rFont val="宋体"/>
        <family val="3"/>
        <charset val="134"/>
      </rPr>
      <t>谷仓；畜棚；车库；靶（核反应截面单位）；</t>
    </r>
    <r>
      <rPr>
        <sz val="18"/>
        <rFont val="Times New Roman"/>
        <family val="1"/>
      </rPr>
      <t xml:space="preserve">vt. </t>
    </r>
    <r>
      <rPr>
        <sz val="18"/>
        <rFont val="宋体"/>
        <family val="3"/>
        <charset val="134"/>
      </rPr>
      <t>把</t>
    </r>
    <r>
      <rPr>
        <sz val="18"/>
        <rFont val="Times New Roman"/>
        <family val="1"/>
      </rPr>
      <t>…</t>
    </r>
    <r>
      <rPr>
        <sz val="18"/>
        <rFont val="宋体"/>
        <family val="3"/>
        <charset val="134"/>
      </rPr>
      <t>贮存入仓</t>
    </r>
    <phoneticPr fontId="3" type="noConversion"/>
  </si>
  <si>
    <t>bereærn(barley house)</t>
    <phoneticPr fontId="3" type="noConversion"/>
  </si>
  <si>
    <t>small ball used in voting</t>
    <phoneticPr fontId="3" type="noConversion"/>
  </si>
  <si>
    <r>
      <t xml:space="preserve">n. </t>
    </r>
    <r>
      <rPr>
        <sz val="18"/>
        <rFont val="宋体"/>
        <family val="3"/>
        <charset val="134"/>
      </rPr>
      <t>投票；投票用纸；投票总数；</t>
    </r>
    <r>
      <rPr>
        <sz val="18"/>
        <rFont val="Times New Roman"/>
        <family val="1"/>
      </rPr>
      <t xml:space="preserve">v. </t>
    </r>
    <r>
      <rPr>
        <sz val="18"/>
        <rFont val="宋体"/>
        <family val="3"/>
        <charset val="134"/>
      </rPr>
      <t>投票；抽签决定</t>
    </r>
    <phoneticPr fontId="3" type="noConversion"/>
  </si>
  <si>
    <r>
      <t xml:space="preserve">n. </t>
    </r>
    <r>
      <rPr>
        <sz val="18"/>
        <rFont val="宋体"/>
        <family val="3"/>
        <charset val="134"/>
      </rPr>
      <t>律师</t>
    </r>
    <phoneticPr fontId="3" type="noConversion"/>
  </si>
  <si>
    <t>bar</t>
    <phoneticPr fontId="3" type="noConversion"/>
  </si>
  <si>
    <r>
      <t xml:space="preserve">n. </t>
    </r>
    <r>
      <rPr>
        <sz val="18"/>
        <rFont val="宋体"/>
        <family val="3"/>
        <charset val="134"/>
      </rPr>
      <t>箱子，容器；二进制；</t>
    </r>
    <r>
      <rPr>
        <sz val="18"/>
        <rFont val="Times New Roman"/>
        <family val="1"/>
      </rPr>
      <t xml:space="preserve">vt. </t>
    </r>
    <r>
      <rPr>
        <sz val="18"/>
        <rFont val="宋体"/>
        <family val="3"/>
        <charset val="134"/>
      </rPr>
      <t>把</t>
    </r>
    <r>
      <rPr>
        <sz val="18"/>
        <rFont val="Times New Roman"/>
        <family val="1"/>
      </rPr>
      <t>…</t>
    </r>
    <r>
      <rPr>
        <sz val="18"/>
        <rFont val="宋体"/>
        <family val="3"/>
        <charset val="134"/>
      </rPr>
      <t>放入箱中</t>
    </r>
    <phoneticPr fontId="3" type="noConversion"/>
  </si>
  <si>
    <t>?</t>
    <phoneticPr fontId="3" type="noConversion"/>
  </si>
  <si>
    <t>=balk</t>
    <phoneticPr fontId="3" type="noConversion"/>
  </si>
  <si>
    <r>
      <t xml:space="preserve">vt. </t>
    </r>
    <r>
      <rPr>
        <sz val="18"/>
        <rFont val="宋体"/>
        <family val="3"/>
        <charset val="134"/>
      </rPr>
      <t>欺骗，诈骗；使受挫折；赖帐；</t>
    </r>
    <r>
      <rPr>
        <sz val="18"/>
        <rFont val="Times New Roman"/>
        <family val="1"/>
      </rPr>
      <t xml:space="preserve">n. </t>
    </r>
    <r>
      <rPr>
        <sz val="18"/>
        <rFont val="宋体"/>
        <family val="3"/>
        <charset val="134"/>
      </rPr>
      <t>诈骗；骗子；赖帐</t>
    </r>
    <phoneticPr fontId="3" type="noConversion"/>
  </si>
  <si>
    <r>
      <t xml:space="preserve">n. </t>
    </r>
    <r>
      <rPr>
        <sz val="18"/>
        <rFont val="宋体"/>
        <family val="3"/>
        <charset val="134"/>
      </rPr>
      <t>胆汁；愤怒</t>
    </r>
    <phoneticPr fontId="3" type="noConversion"/>
  </si>
  <si>
    <t>bilis(fluid secreted by the liver)</t>
    <phoneticPr fontId="3" type="noConversion"/>
  </si>
  <si>
    <r>
      <t xml:space="preserve">vt. </t>
    </r>
    <r>
      <rPr>
        <sz val="18"/>
        <rFont val="宋体"/>
        <family val="3"/>
        <charset val="134"/>
      </rPr>
      <t>预示；表示</t>
    </r>
    <phoneticPr fontId="3" type="noConversion"/>
  </si>
  <si>
    <t>be+token(sign)</t>
    <phoneticPr fontId="3" type="noConversion"/>
  </si>
  <si>
    <r>
      <t xml:space="preserve">vt. </t>
    </r>
    <r>
      <rPr>
        <sz val="18"/>
        <rFont val="宋体"/>
        <family val="3"/>
        <charset val="134"/>
      </rPr>
      <t>使醉；使糊涂；使迷糊</t>
    </r>
    <phoneticPr fontId="3" type="noConversion"/>
  </si>
  <si>
    <t>be+sot(sott(stupid person, fool))</t>
    <phoneticPr fontId="3" type="noConversion"/>
  </si>
  <si>
    <r>
      <t>n. v.</t>
    </r>
    <r>
      <rPr>
        <sz val="18"/>
        <rFont val="宋体"/>
        <family val="3"/>
        <charset val="134"/>
      </rPr>
      <t>大肆宣传；大吹大擂</t>
    </r>
    <phoneticPr fontId="3" type="noConversion"/>
  </si>
  <si>
    <t>拟声词</t>
    <phoneticPr fontId="3" type="noConversion"/>
  </si>
  <si>
    <r>
      <t xml:space="preserve">vt. </t>
    </r>
    <r>
      <rPr>
        <sz val="18"/>
        <rFont val="宋体"/>
        <family val="3"/>
        <charset val="134"/>
      </rPr>
      <t>欺骗；使迷惑</t>
    </r>
    <phoneticPr fontId="3" type="noConversion"/>
  </si>
  <si>
    <t>=bombast</t>
    <phoneticPr fontId="3" type="noConversion"/>
  </si>
  <si>
    <r>
      <t xml:space="preserve">vt. </t>
    </r>
    <r>
      <rPr>
        <sz val="18"/>
        <rFont val="宋体"/>
        <family val="3"/>
        <charset val="134"/>
      </rPr>
      <t>使迷惑；使昏沉</t>
    </r>
    <phoneticPr fontId="3" type="noConversion"/>
  </si>
  <si>
    <t>be+fuddle(get drunk)</t>
    <phoneticPr fontId="3" type="noConversion"/>
  </si>
  <si>
    <r>
      <t xml:space="preserve">n. </t>
    </r>
    <r>
      <rPr>
        <sz val="18"/>
        <rFont val="宋体"/>
        <family val="3"/>
        <charset val="134"/>
      </rPr>
      <t>横梁；光线；电波；船宽；</t>
    </r>
    <r>
      <rPr>
        <sz val="18"/>
        <rFont val="Times New Roman"/>
        <family val="1"/>
      </rPr>
      <t>[</t>
    </r>
    <r>
      <rPr>
        <sz val="18"/>
        <rFont val="宋体"/>
        <family val="3"/>
        <charset val="134"/>
      </rPr>
      <t>计量</t>
    </r>
    <r>
      <rPr>
        <sz val="18"/>
        <rFont val="Times New Roman"/>
        <family val="1"/>
      </rPr>
      <t xml:space="preserve">] </t>
    </r>
    <r>
      <rPr>
        <sz val="18"/>
        <rFont val="宋体"/>
        <family val="3"/>
        <charset val="134"/>
      </rPr>
      <t>秤杆；</t>
    </r>
    <r>
      <rPr>
        <sz val="18"/>
        <rFont val="Times New Roman"/>
        <family val="1"/>
      </rPr>
      <t xml:space="preserve">vt. </t>
    </r>
    <r>
      <rPr>
        <sz val="18"/>
        <rFont val="宋体"/>
        <family val="3"/>
        <charset val="134"/>
      </rPr>
      <t>发送；以梁支撑；用</t>
    </r>
    <r>
      <rPr>
        <sz val="18"/>
        <rFont val="Times New Roman"/>
        <family val="1"/>
      </rPr>
      <t>…</t>
    </r>
    <r>
      <rPr>
        <sz val="18"/>
        <rFont val="宋体"/>
        <family val="3"/>
        <charset val="134"/>
      </rPr>
      <t>照射；流露；</t>
    </r>
    <r>
      <rPr>
        <sz val="18"/>
        <rFont val="Times New Roman"/>
        <family val="1"/>
      </rPr>
      <t xml:space="preserve">vi. </t>
    </r>
    <r>
      <rPr>
        <sz val="18"/>
        <rFont val="宋体"/>
        <family val="3"/>
        <charset val="134"/>
      </rPr>
      <t>照射；堆满笑容</t>
    </r>
    <phoneticPr fontId="3" type="noConversion"/>
  </si>
  <si>
    <t>=boom</t>
    <phoneticPr fontId="3" type="noConversion"/>
  </si>
  <si>
    <r>
      <t xml:space="preserve">vt. </t>
    </r>
    <r>
      <rPr>
        <sz val="18"/>
        <rFont val="宋体"/>
        <family val="3"/>
        <charset val="134"/>
      </rPr>
      <t>使用；授予；放置；留宿</t>
    </r>
    <phoneticPr fontId="3" type="noConversion"/>
  </si>
  <si>
    <t>be+stowen(place)</t>
    <phoneticPr fontId="3" type="noConversion"/>
  </si>
  <si>
    <r>
      <t xml:space="preserve">n. </t>
    </r>
    <r>
      <rPr>
        <sz val="18"/>
        <rFont val="宋体"/>
        <family val="3"/>
        <charset val="134"/>
      </rPr>
      <t>藏书癖；（尤指珍本书）收藏狂</t>
    </r>
    <phoneticPr fontId="3" type="noConversion"/>
  </si>
  <si>
    <t>biblio(book)+mania</t>
    <phoneticPr fontId="3" type="noConversion"/>
  </si>
  <si>
    <r>
      <t xml:space="preserve">vt. </t>
    </r>
    <r>
      <rPr>
        <sz val="18"/>
        <rFont val="宋体"/>
        <family val="3"/>
        <charset val="134"/>
      </rPr>
      <t>围困；包围；烦扰</t>
    </r>
    <phoneticPr fontId="3" type="noConversion"/>
  </si>
  <si>
    <t>be+siege</t>
    <phoneticPr fontId="3" type="noConversion"/>
  </si>
  <si>
    <r>
      <t xml:space="preserve">adj. </t>
    </r>
    <r>
      <rPr>
        <sz val="18"/>
        <rFont val="宋体"/>
        <family val="3"/>
        <charset val="134"/>
      </rPr>
      <t>狂怒的；</t>
    </r>
    <r>
      <rPr>
        <sz val="18"/>
        <rFont val="Times New Roman"/>
        <family val="1"/>
      </rPr>
      <t xml:space="preserve">adv. </t>
    </r>
    <r>
      <rPr>
        <sz val="18"/>
        <rFont val="宋体"/>
        <family val="3"/>
        <charset val="134"/>
      </rPr>
      <t>狂暴地，狂怒地</t>
    </r>
    <phoneticPr fontId="3" type="noConversion"/>
  </si>
  <si>
    <t>=bear</t>
    <phoneticPr fontId="3" type="noConversion"/>
  </si>
  <si>
    <t>bead</t>
    <phoneticPr fontId="3" type="noConversion"/>
  </si>
  <si>
    <r>
      <t xml:space="preserve">n. </t>
    </r>
    <r>
      <rPr>
        <sz val="18"/>
        <rFont val="宋体"/>
        <family val="3"/>
        <charset val="134"/>
      </rPr>
      <t>珠子；滴；念珠；</t>
    </r>
    <r>
      <rPr>
        <sz val="18"/>
        <rFont val="Times New Roman"/>
        <family val="1"/>
      </rPr>
      <t xml:space="preserve">vi. </t>
    </r>
    <r>
      <rPr>
        <sz val="18"/>
        <rFont val="宋体"/>
        <family val="3"/>
        <charset val="134"/>
      </rPr>
      <t>形成珠状，起泡；</t>
    </r>
    <r>
      <rPr>
        <sz val="18"/>
        <rFont val="Times New Roman"/>
        <family val="1"/>
      </rPr>
      <t xml:space="preserve">vt. </t>
    </r>
    <r>
      <rPr>
        <sz val="18"/>
        <rFont val="宋体"/>
        <family val="3"/>
        <charset val="134"/>
      </rPr>
      <t>用珠装饰；使成串珠状</t>
    </r>
    <phoneticPr fontId="3" type="noConversion"/>
  </si>
  <si>
    <t>=bid</t>
    <phoneticPr fontId="3" type="noConversion"/>
  </si>
  <si>
    <r>
      <t xml:space="preserve">adj. </t>
    </r>
    <r>
      <rPr>
        <sz val="18"/>
        <rFont val="宋体"/>
        <family val="3"/>
        <charset val="134"/>
      </rPr>
      <t>双边的；有两边的</t>
    </r>
    <phoneticPr fontId="3" type="noConversion"/>
  </si>
  <si>
    <t>lateral</t>
    <phoneticPr fontId="1" type="noConversion"/>
  </si>
  <si>
    <r>
      <t>bi+lateral([</t>
    </r>
    <r>
      <rPr>
        <sz val="18"/>
        <rFont val="宋体"/>
        <family val="3"/>
        <charset val="134"/>
      </rPr>
      <t>拉</t>
    </r>
    <r>
      <rPr>
        <sz val="18"/>
        <rFont val="Times New Roman"/>
        <family val="1"/>
      </rPr>
      <t>]latus(side))</t>
    </r>
    <phoneticPr fontId="3" type="noConversion"/>
  </si>
  <si>
    <r>
      <t xml:space="preserve">vt. </t>
    </r>
    <r>
      <rPr>
        <sz val="18"/>
        <rFont val="宋体"/>
        <family val="3"/>
        <charset val="134"/>
      </rPr>
      <t>等待；面临；禁得起；</t>
    </r>
    <r>
      <rPr>
        <sz val="18"/>
        <rFont val="Times New Roman"/>
        <family val="1"/>
      </rPr>
      <t xml:space="preserve">vi. </t>
    </r>
    <r>
      <rPr>
        <sz val="18"/>
        <rFont val="宋体"/>
        <family val="3"/>
        <charset val="134"/>
      </rPr>
      <t>等待；居住</t>
    </r>
    <phoneticPr fontId="3" type="noConversion"/>
  </si>
  <si>
    <r>
      <t xml:space="preserve">n. </t>
    </r>
    <r>
      <rPr>
        <sz val="18"/>
        <rFont val="宋体"/>
        <family val="3"/>
        <charset val="134"/>
      </rPr>
      <t>短发；摆动；浮子；轻敲；悬挂的饰品；</t>
    </r>
    <r>
      <rPr>
        <sz val="18"/>
        <rFont val="Times New Roman"/>
        <family val="1"/>
      </rPr>
      <t xml:space="preserve">vt. </t>
    </r>
    <r>
      <rPr>
        <sz val="18"/>
        <rFont val="宋体"/>
        <family val="3"/>
        <charset val="134"/>
      </rPr>
      <t>剪短；敲击；使上下快速摆动；</t>
    </r>
    <r>
      <rPr>
        <sz val="18"/>
        <rFont val="Times New Roman"/>
        <family val="1"/>
      </rPr>
      <t xml:space="preserve">vi. </t>
    </r>
    <r>
      <rPr>
        <sz val="18"/>
        <rFont val="宋体"/>
        <family val="3"/>
        <charset val="134"/>
      </rPr>
      <t>上下跳动；振动</t>
    </r>
    <phoneticPr fontId="3" type="noConversion"/>
  </si>
  <si>
    <t>bobben(trike, beat); bobbe(cluster)</t>
    <phoneticPr fontId="3" type="noConversion"/>
  </si>
  <si>
    <r>
      <t xml:space="preserve">vt. </t>
    </r>
    <r>
      <rPr>
        <sz val="18"/>
        <rFont val="宋体"/>
        <family val="3"/>
        <charset val="134"/>
      </rPr>
      <t>使膨胀；（使）肿胀；腌制；</t>
    </r>
    <r>
      <rPr>
        <sz val="18"/>
        <rFont val="Times New Roman"/>
        <family val="1"/>
      </rPr>
      <t xml:space="preserve">vi. </t>
    </r>
    <r>
      <rPr>
        <sz val="18"/>
        <rFont val="宋体"/>
        <family val="3"/>
        <charset val="134"/>
      </rPr>
      <t>膨胀；肿起；得意；</t>
    </r>
    <r>
      <rPr>
        <sz val="18"/>
        <rFont val="Times New Roman"/>
        <family val="1"/>
      </rPr>
      <t xml:space="preserve">n. </t>
    </r>
    <r>
      <rPr>
        <sz val="18"/>
        <rFont val="宋体"/>
        <family val="3"/>
        <charset val="134"/>
      </rPr>
      <t>膨胀的东西，肿胀的人；肿胀病人；自满的人</t>
    </r>
    <phoneticPr fontId="3" type="noConversion"/>
  </si>
  <si>
    <t xml:space="preserve"> [PIE]bhleu(swell, well up, overflow)</t>
    <phoneticPr fontId="3" type="noConversion"/>
  </si>
  <si>
    <t>bazaar</t>
    <phoneticPr fontId="3" type="noConversion"/>
  </si>
  <si>
    <r>
      <t xml:space="preserve">n. </t>
    </r>
    <r>
      <rPr>
        <sz val="18"/>
        <rFont val="宋体"/>
        <family val="3"/>
        <charset val="134"/>
      </rPr>
      <t>集市；市场；义卖市场</t>
    </r>
    <phoneticPr fontId="3" type="noConversion"/>
  </si>
  <si>
    <r>
      <t>[</t>
    </r>
    <r>
      <rPr>
        <sz val="18"/>
        <rFont val="宋体"/>
        <family val="3"/>
        <charset val="134"/>
      </rPr>
      <t>波斯</t>
    </r>
    <r>
      <rPr>
        <sz val="18"/>
        <rFont val="Times New Roman"/>
        <family val="1"/>
      </rPr>
      <t>]bāzār(market)</t>
    </r>
    <phoneticPr fontId="3" type="noConversion"/>
  </si>
  <si>
    <r>
      <t xml:space="preserve">n. </t>
    </r>
    <r>
      <rPr>
        <sz val="18"/>
        <rFont val="宋体"/>
        <family val="3"/>
        <charset val="134"/>
      </rPr>
      <t>灯塔，信号浮标；烽火；指路明灯；</t>
    </r>
    <r>
      <rPr>
        <sz val="18"/>
        <rFont val="Times New Roman"/>
        <family val="1"/>
      </rPr>
      <t xml:space="preserve">vt. </t>
    </r>
    <r>
      <rPr>
        <sz val="18"/>
        <rFont val="宋体"/>
        <family val="3"/>
        <charset val="134"/>
      </rPr>
      <t>照亮，指引；</t>
    </r>
    <r>
      <rPr>
        <sz val="18"/>
        <rFont val="Times New Roman"/>
        <family val="1"/>
      </rPr>
      <t xml:space="preserve">vi. </t>
    </r>
    <r>
      <rPr>
        <sz val="18"/>
        <rFont val="宋体"/>
        <family val="3"/>
        <charset val="134"/>
      </rPr>
      <t>像灯塔般照耀</t>
    </r>
    <phoneticPr fontId="3" type="noConversion"/>
  </si>
  <si>
    <r>
      <t xml:space="preserve">vt. </t>
    </r>
    <r>
      <rPr>
        <sz val="18"/>
        <rFont val="宋体"/>
        <family val="3"/>
        <charset val="134"/>
      </rPr>
      <t>召唤；吸引；</t>
    </r>
    <r>
      <rPr>
        <sz val="18"/>
        <rFont val="Times New Roman"/>
        <family val="1"/>
      </rPr>
      <t xml:space="preserve">vi. </t>
    </r>
    <r>
      <rPr>
        <sz val="18"/>
        <rFont val="宋体"/>
        <family val="3"/>
        <charset val="134"/>
      </rPr>
      <t>吸引；（招手或点头）示意；</t>
    </r>
    <r>
      <rPr>
        <sz val="18"/>
        <rFont val="Times New Roman"/>
        <family val="1"/>
      </rPr>
      <t xml:space="preserve">n. </t>
    </r>
    <r>
      <rPr>
        <sz val="18"/>
        <rFont val="宋体"/>
        <family val="3"/>
        <charset val="134"/>
      </rPr>
      <t>表召唤的点头；手势</t>
    </r>
    <phoneticPr fontId="3" type="noConversion"/>
  </si>
  <si>
    <t>=beacon</t>
    <phoneticPr fontId="3" type="noConversion"/>
  </si>
  <si>
    <r>
      <t xml:space="preserve">vt. </t>
    </r>
    <r>
      <rPr>
        <sz val="18"/>
        <rFont val="宋体"/>
        <family val="3"/>
        <charset val="134"/>
      </rPr>
      <t>投标；出价；表示；吩咐；</t>
    </r>
    <r>
      <rPr>
        <sz val="18"/>
        <rFont val="Times New Roman"/>
        <family val="1"/>
      </rPr>
      <t xml:space="preserve">vi. </t>
    </r>
    <r>
      <rPr>
        <sz val="18"/>
        <rFont val="宋体"/>
        <family val="3"/>
        <charset val="134"/>
      </rPr>
      <t>投标；吩咐；</t>
    </r>
    <r>
      <rPr>
        <sz val="18"/>
        <rFont val="Times New Roman"/>
        <family val="1"/>
      </rPr>
      <t xml:space="preserve">n. </t>
    </r>
    <r>
      <rPr>
        <sz val="18"/>
        <rFont val="宋体"/>
        <family val="3"/>
        <charset val="134"/>
      </rPr>
      <t>出价；叫牌；努力争取</t>
    </r>
    <phoneticPr fontId="3" type="noConversion"/>
  </si>
  <si>
    <t>bæd(ask, demand)</t>
    <phoneticPr fontId="3" type="noConversion"/>
  </si>
  <si>
    <r>
      <t xml:space="preserve">vi. </t>
    </r>
    <r>
      <rPr>
        <sz val="18"/>
        <rFont val="宋体"/>
        <family val="3"/>
        <charset val="134"/>
      </rPr>
      <t>闪动；斗嘴；潺潺而流；</t>
    </r>
    <r>
      <rPr>
        <sz val="18"/>
        <rFont val="Times New Roman"/>
        <family val="1"/>
      </rPr>
      <t xml:space="preserve">n. </t>
    </r>
    <r>
      <rPr>
        <sz val="18"/>
        <rFont val="宋体"/>
        <family val="3"/>
        <charset val="134"/>
      </rPr>
      <t>吵嘴；口角；（水的）潺潺声</t>
    </r>
    <phoneticPr fontId="3" type="noConversion"/>
  </si>
  <si>
    <r>
      <t>[</t>
    </r>
    <r>
      <rPr>
        <sz val="18"/>
        <rFont val="宋体"/>
        <family val="3"/>
        <charset val="134"/>
      </rPr>
      <t>荷</t>
    </r>
    <r>
      <rPr>
        <sz val="18"/>
        <rFont val="Times New Roman"/>
        <family val="1"/>
      </rPr>
      <t>]bicken(slash, stab, attack)</t>
    </r>
    <phoneticPr fontId="3" type="noConversion"/>
  </si>
  <si>
    <r>
      <t xml:space="preserve">vt. </t>
    </r>
    <r>
      <rPr>
        <sz val="18"/>
        <rFont val="宋体"/>
        <family val="3"/>
        <charset val="134"/>
      </rPr>
      <t>排斥；投反对票</t>
    </r>
    <phoneticPr fontId="3" type="noConversion"/>
  </si>
  <si>
    <t>black+ball</t>
    <phoneticPr fontId="3" type="noConversion"/>
  </si>
  <si>
    <r>
      <t>[</t>
    </r>
    <r>
      <rPr>
        <sz val="18"/>
        <rFont val="宋体"/>
        <family val="3"/>
        <charset val="134"/>
      </rPr>
      <t>拉</t>
    </r>
    <r>
      <rPr>
        <sz val="18"/>
        <rFont val="Times New Roman"/>
        <family val="1"/>
      </rPr>
      <t>]beare(make happy, bless)</t>
    </r>
    <phoneticPr fontId="3" type="noConversion"/>
  </si>
  <si>
    <r>
      <t xml:space="preserve">adj. </t>
    </r>
    <r>
      <rPr>
        <sz val="18"/>
        <rFont val="宋体"/>
        <family val="3"/>
        <charset val="134"/>
      </rPr>
      <t>幸福的；祝福的；快乐的</t>
    </r>
    <phoneticPr fontId="3" type="noConversion"/>
  </si>
  <si>
    <r>
      <t xml:space="preserve">vi. </t>
    </r>
    <r>
      <rPr>
        <sz val="18"/>
        <rFont val="宋体"/>
        <family val="3"/>
        <charset val="134"/>
      </rPr>
      <t>大叫；放声痛哭；</t>
    </r>
    <r>
      <rPr>
        <sz val="18"/>
        <rFont val="Times New Roman"/>
        <family val="1"/>
      </rPr>
      <t xml:space="preserve">vt. </t>
    </r>
    <r>
      <rPr>
        <sz val="18"/>
        <rFont val="宋体"/>
        <family val="3"/>
        <charset val="134"/>
      </rPr>
      <t>大声叫出；大声宣布；叫卖；</t>
    </r>
    <r>
      <rPr>
        <sz val="18"/>
        <rFont val="Times New Roman"/>
        <family val="1"/>
      </rPr>
      <t xml:space="preserve">n. </t>
    </r>
    <r>
      <rPr>
        <sz val="18"/>
        <rFont val="宋体"/>
        <family val="3"/>
        <charset val="134"/>
      </rPr>
      <t>叫骂声</t>
    </r>
    <phoneticPr fontId="3" type="noConversion"/>
  </si>
  <si>
    <r>
      <t>[</t>
    </r>
    <r>
      <rPr>
        <sz val="18"/>
        <rFont val="宋体"/>
        <family val="3"/>
        <charset val="134"/>
      </rPr>
      <t>挪</t>
    </r>
    <r>
      <rPr>
        <sz val="18"/>
        <rFont val="Times New Roman"/>
        <family val="1"/>
      </rPr>
      <t>]baula(low like a cow)</t>
    </r>
    <phoneticPr fontId="3" type="noConversion"/>
  </si>
  <si>
    <r>
      <t xml:space="preserve">n. </t>
    </r>
    <r>
      <rPr>
        <sz val="18"/>
        <rFont val="宋体"/>
        <family val="3"/>
        <charset val="134"/>
      </rPr>
      <t>堡垒；棱堡</t>
    </r>
    <phoneticPr fontId="3" type="noConversion"/>
  </si>
  <si>
    <r>
      <t>[</t>
    </r>
    <r>
      <rPr>
        <sz val="18"/>
        <rFont val="宋体"/>
        <family val="3"/>
        <charset val="134"/>
      </rPr>
      <t>普罗旺斯语</t>
    </r>
    <r>
      <rPr>
        <sz val="18"/>
        <rFont val="Times New Roman"/>
        <family val="1"/>
      </rPr>
      <t>]bastir(build)</t>
    </r>
    <phoneticPr fontId="3" type="noConversion"/>
  </si>
  <si>
    <t>[PIE]bha(shine)</t>
    <phoneticPr fontId="3" type="noConversion"/>
  </si>
  <si>
    <r>
      <t xml:space="preserve">adj. </t>
    </r>
    <r>
      <rPr>
        <sz val="18"/>
        <rFont val="宋体"/>
        <family val="3"/>
        <charset val="134"/>
      </rPr>
      <t>奇异的</t>
    </r>
    <phoneticPr fontId="3" type="noConversion"/>
  </si>
  <si>
    <r>
      <t>[</t>
    </r>
    <r>
      <rPr>
        <sz val="18"/>
        <rFont val="宋体"/>
        <family val="3"/>
        <charset val="134"/>
      </rPr>
      <t>巴斯克语</t>
    </r>
    <r>
      <rPr>
        <sz val="18"/>
        <rFont val="Times New Roman"/>
        <family val="1"/>
      </rPr>
      <t>]bizarra(beard)</t>
    </r>
    <phoneticPr fontId="3" type="noConversion"/>
  </si>
  <si>
    <r>
      <t xml:space="preserve">n. </t>
    </r>
    <r>
      <rPr>
        <sz val="18"/>
        <rFont val="宋体"/>
        <family val="3"/>
        <charset val="134"/>
      </rPr>
      <t>轰动；巨型炸弹；一鸣惊人者</t>
    </r>
    <phoneticPr fontId="3" type="noConversion"/>
  </si>
  <si>
    <t>block+buster</t>
    <phoneticPr fontId="3" type="noConversion"/>
  </si>
  <si>
    <t>be+reafian(rob, plunder)</t>
    <phoneticPr fontId="3" type="noConversion"/>
  </si>
  <si>
    <r>
      <t xml:space="preserve">vt. </t>
    </r>
    <r>
      <rPr>
        <sz val="18"/>
        <rFont val="宋体"/>
        <family val="3"/>
        <charset val="134"/>
      </rPr>
      <t>使</t>
    </r>
    <r>
      <rPr>
        <sz val="18"/>
        <rFont val="Times New Roman"/>
        <family val="1"/>
      </rPr>
      <t>……</t>
    </r>
    <r>
      <rPr>
        <sz val="18"/>
        <rFont val="宋体"/>
        <family val="3"/>
        <charset val="134"/>
      </rPr>
      <t>失去；使</t>
    </r>
    <r>
      <rPr>
        <sz val="18"/>
        <rFont val="Times New Roman"/>
        <family val="1"/>
      </rPr>
      <t>……</t>
    </r>
    <r>
      <rPr>
        <sz val="18"/>
        <rFont val="宋体"/>
        <family val="3"/>
        <charset val="134"/>
      </rPr>
      <t>孤寂</t>
    </r>
    <phoneticPr fontId="3" type="noConversion"/>
  </si>
  <si>
    <r>
      <t xml:space="preserve">adj. </t>
    </r>
    <r>
      <rPr>
        <sz val="18"/>
        <rFont val="宋体"/>
        <family val="3"/>
        <charset val="134"/>
      </rPr>
      <t>朦胧的；模糊的；</t>
    </r>
    <r>
      <rPr>
        <sz val="18"/>
        <rFont val="Times New Roman"/>
        <family val="1"/>
      </rPr>
      <t xml:space="preserve">vt. </t>
    </r>
    <r>
      <rPr>
        <sz val="18"/>
        <rFont val="宋体"/>
        <family val="3"/>
        <charset val="134"/>
      </rPr>
      <t>使模糊不清</t>
    </r>
    <phoneticPr fontId="3" type="noConversion"/>
  </si>
  <si>
    <t>=blur</t>
    <phoneticPr fontId="3" type="noConversion"/>
  </si>
  <si>
    <r>
      <t xml:space="preserve">vt. </t>
    </r>
    <r>
      <rPr>
        <sz val="18"/>
        <rFont val="宋体"/>
        <family val="3"/>
        <charset val="134"/>
      </rPr>
      <t>使发呆；使茫然；使困惑</t>
    </r>
    <phoneticPr fontId="3" type="noConversion"/>
  </si>
  <si>
    <t>muse</t>
    <phoneticPr fontId="3" type="noConversion"/>
  </si>
  <si>
    <r>
      <t xml:space="preserve">vt. </t>
    </r>
    <r>
      <rPr>
        <sz val="18"/>
        <rFont val="宋体"/>
        <family val="3"/>
        <charset val="134"/>
      </rPr>
      <t>漂白；使变白；</t>
    </r>
    <r>
      <rPr>
        <sz val="18"/>
        <rFont val="Times New Roman"/>
        <family val="1"/>
      </rPr>
      <t xml:space="preserve">vi. </t>
    </r>
    <r>
      <rPr>
        <sz val="18"/>
        <rFont val="宋体"/>
        <family val="3"/>
        <charset val="134"/>
      </rPr>
      <t>漂白；发白；变白；</t>
    </r>
    <r>
      <rPr>
        <sz val="18"/>
        <rFont val="Times New Roman"/>
        <family val="1"/>
      </rPr>
      <t xml:space="preserve">n. </t>
    </r>
    <r>
      <rPr>
        <sz val="18"/>
        <rFont val="宋体"/>
        <family val="3"/>
        <charset val="134"/>
      </rPr>
      <t>铅矿石；</t>
    </r>
    <r>
      <rPr>
        <sz val="18"/>
        <rFont val="Times New Roman"/>
        <family val="1"/>
      </rPr>
      <t xml:space="preserve">adj. </t>
    </r>
    <r>
      <rPr>
        <sz val="18"/>
        <rFont val="宋体"/>
        <family val="3"/>
        <charset val="134"/>
      </rPr>
      <t>漂白的；银白色的</t>
    </r>
    <phoneticPr fontId="3" type="noConversion"/>
  </si>
  <si>
    <t>=blank</t>
    <phoneticPr fontId="3" type="noConversion"/>
  </si>
  <si>
    <r>
      <t xml:space="preserve">adj. </t>
    </r>
    <r>
      <rPr>
        <sz val="18"/>
        <rFont val="宋体"/>
        <family val="3"/>
        <charset val="134"/>
      </rPr>
      <t>阴冷的；荒凉的，无遮蔽的；黯淡的，无希望的；冷酷的；单调的</t>
    </r>
    <phoneticPr fontId="3" type="noConversion"/>
  </si>
  <si>
    <t>=bleach</t>
    <phoneticPr fontId="3" type="noConversion"/>
  </si>
  <si>
    <r>
      <t xml:space="preserve">vt. </t>
    </r>
    <r>
      <rPr>
        <sz val="18"/>
        <rFont val="宋体"/>
        <family val="3"/>
        <charset val="134"/>
      </rPr>
      <t>使漂白，使变白；</t>
    </r>
    <r>
      <rPr>
        <sz val="18"/>
        <rFont val="Times New Roman"/>
        <family val="1"/>
      </rPr>
      <t xml:space="preserve">vi. </t>
    </r>
    <r>
      <rPr>
        <sz val="18"/>
        <rFont val="宋体"/>
        <family val="3"/>
        <charset val="134"/>
      </rPr>
      <t>变白，漂白；</t>
    </r>
    <r>
      <rPr>
        <sz val="18"/>
        <rFont val="Times New Roman"/>
        <family val="1"/>
      </rPr>
      <t xml:space="preserve">n. </t>
    </r>
    <r>
      <rPr>
        <sz val="18"/>
        <rFont val="宋体"/>
        <family val="3"/>
        <charset val="134"/>
      </rPr>
      <t>漂白剂</t>
    </r>
    <phoneticPr fontId="3" type="noConversion"/>
  </si>
  <si>
    <t>[PIE]bhel(shine, flash, burn)</t>
    <phoneticPr fontId="3" type="noConversion"/>
  </si>
  <si>
    <r>
      <t xml:space="preserve">vt. </t>
    </r>
    <r>
      <rPr>
        <sz val="18"/>
        <rFont val="宋体"/>
        <family val="3"/>
        <charset val="134"/>
      </rPr>
      <t>大声喊叫；大声发出；</t>
    </r>
    <r>
      <rPr>
        <sz val="18"/>
        <rFont val="Times New Roman"/>
        <family val="1"/>
      </rPr>
      <t xml:space="preserve">vi. </t>
    </r>
    <r>
      <rPr>
        <sz val="18"/>
        <rFont val="宋体"/>
        <family val="3"/>
        <charset val="134"/>
      </rPr>
      <t>吼叫；怒吼；咆哮；</t>
    </r>
    <r>
      <rPr>
        <sz val="18"/>
        <rFont val="Times New Roman"/>
        <family val="1"/>
      </rPr>
      <t xml:space="preserve">n. </t>
    </r>
    <r>
      <rPr>
        <sz val="18"/>
        <rFont val="宋体"/>
        <family val="3"/>
        <charset val="134"/>
      </rPr>
      <t>吼叫声；轰鸣声</t>
    </r>
    <phoneticPr fontId="3" type="noConversion"/>
  </si>
  <si>
    <t>[PIE]bhel(sound, roar)</t>
    <phoneticPr fontId="3" type="noConversion"/>
  </si>
  <si>
    <r>
      <t xml:space="preserve">vt. </t>
    </r>
    <r>
      <rPr>
        <sz val="18"/>
        <rFont val="宋体"/>
        <family val="3"/>
        <charset val="134"/>
      </rPr>
      <t>弄脏；诽谤</t>
    </r>
    <phoneticPr fontId="3" type="noConversion"/>
  </si>
  <si>
    <t>be+foul(rotten, unclean, vile, corrupt)</t>
    <phoneticPr fontId="3" type="noConversion"/>
  </si>
  <si>
    <r>
      <t xml:space="preserve">vt. </t>
    </r>
    <r>
      <rPr>
        <sz val="18"/>
        <rFont val="宋体"/>
        <family val="3"/>
        <charset val="134"/>
      </rPr>
      <t>产生；招致；引起；当</t>
    </r>
    <r>
      <rPr>
        <sz val="18"/>
        <rFont val="Times New Roman"/>
        <family val="1"/>
      </rPr>
      <t>…</t>
    </r>
    <r>
      <rPr>
        <sz val="18"/>
        <rFont val="宋体"/>
        <family val="3"/>
        <charset val="134"/>
      </rPr>
      <t>的父亲</t>
    </r>
    <phoneticPr fontId="3" type="noConversion"/>
  </si>
  <si>
    <t>be+get</t>
    <phoneticPr fontId="3" type="noConversion"/>
  </si>
  <si>
    <r>
      <t xml:space="preserve">adj. </t>
    </r>
    <r>
      <rPr>
        <sz val="18"/>
        <rFont val="宋体"/>
        <family val="3"/>
        <charset val="134"/>
      </rPr>
      <t>全身泥污的；满身湿透的；荒废的，破烂的</t>
    </r>
    <phoneticPr fontId="3" type="noConversion"/>
  </si>
  <si>
    <t>drag</t>
    <phoneticPr fontId="3" type="noConversion"/>
  </si>
  <si>
    <r>
      <t xml:space="preserve">vt. </t>
    </r>
    <r>
      <rPr>
        <sz val="18"/>
        <rFont val="宋体"/>
        <family val="3"/>
        <charset val="134"/>
      </rPr>
      <t>羡慕，嫉妒；吝惜，舍不得给</t>
    </r>
    <phoneticPr fontId="3" type="noConversion"/>
  </si>
  <si>
    <t>be+grudge</t>
    <phoneticPr fontId="3" type="noConversion"/>
  </si>
  <si>
    <r>
      <t xml:space="preserve">n. </t>
    </r>
    <r>
      <rPr>
        <sz val="18"/>
        <rFont val="宋体"/>
        <family val="3"/>
        <charset val="134"/>
      </rPr>
      <t>堵塞，堵塞；封锁；妨碍</t>
    </r>
    <phoneticPr fontId="3" type="noConversion"/>
  </si>
  <si>
    <t>block</t>
    <phoneticPr fontId="3" type="noConversion"/>
  </si>
  <si>
    <r>
      <t xml:space="preserve">vt. </t>
    </r>
    <r>
      <rPr>
        <sz val="18"/>
        <rFont val="宋体"/>
        <family val="3"/>
        <charset val="134"/>
      </rPr>
      <t>封锁；</t>
    </r>
    <r>
      <rPr>
        <sz val="18"/>
        <rFont val="Times New Roman"/>
        <family val="1"/>
      </rPr>
      <t xml:space="preserve">n. </t>
    </r>
    <r>
      <rPr>
        <sz val="18"/>
        <rFont val="宋体"/>
        <family val="3"/>
        <charset val="134"/>
      </rPr>
      <t>阻塞</t>
    </r>
    <phoneticPr fontId="3" type="noConversion"/>
  </si>
  <si>
    <r>
      <t xml:space="preserve">n. </t>
    </r>
    <r>
      <rPr>
        <sz val="18"/>
        <rFont val="宋体"/>
        <family val="3"/>
        <charset val="134"/>
      </rPr>
      <t>胡说；废话；</t>
    </r>
    <r>
      <rPr>
        <sz val="18"/>
        <rFont val="Times New Roman"/>
        <family val="1"/>
      </rPr>
      <t xml:space="preserve">vi. </t>
    </r>
    <r>
      <rPr>
        <sz val="18"/>
        <rFont val="宋体"/>
        <family val="3"/>
        <charset val="134"/>
      </rPr>
      <t>说废话；喋喋不休地说；</t>
    </r>
    <r>
      <rPr>
        <sz val="18"/>
        <rFont val="Times New Roman"/>
        <family val="1"/>
      </rPr>
      <t xml:space="preserve">vt. </t>
    </r>
    <r>
      <rPr>
        <sz val="18"/>
        <rFont val="宋体"/>
        <family val="3"/>
        <charset val="134"/>
      </rPr>
      <t>滔滔不绝地讲</t>
    </r>
    <phoneticPr fontId="3" type="noConversion"/>
  </si>
  <si>
    <r>
      <t>[</t>
    </r>
    <r>
      <rPr>
        <sz val="18"/>
        <rFont val="宋体"/>
        <family val="3"/>
        <charset val="134"/>
      </rPr>
      <t>挪</t>
    </r>
    <r>
      <rPr>
        <sz val="18"/>
        <rFont val="Times New Roman"/>
        <family val="1"/>
      </rPr>
      <t>]blaðra(mutter, wag the tongue)</t>
    </r>
    <phoneticPr fontId="3" type="noConversion"/>
  </si>
  <si>
    <r>
      <t xml:space="preserve">n. </t>
    </r>
    <r>
      <rPr>
        <sz val="18"/>
        <rFont val="宋体"/>
        <family val="3"/>
        <charset val="134"/>
      </rPr>
      <t>亵渎神明；轻视上帝或神祗</t>
    </r>
    <phoneticPr fontId="3" type="noConversion"/>
  </si>
  <si>
    <t>blas(blaptikos(hurtful)+phem(utterance)</t>
    <phoneticPr fontId="3" type="noConversion"/>
  </si>
  <si>
    <t>inhibit</t>
    <phoneticPr fontId="1" type="noConversion"/>
  </si>
  <si>
    <t>dwell</t>
    <phoneticPr fontId="1" type="noConversion"/>
  </si>
  <si>
    <r>
      <t xml:space="preserve">vi. </t>
    </r>
    <r>
      <rPr>
        <sz val="18"/>
        <rFont val="宋体"/>
        <family val="3"/>
        <charset val="134"/>
      </rPr>
      <t>居住；存在于；细想某事</t>
    </r>
    <phoneticPr fontId="1" type="noConversion"/>
  </si>
  <si>
    <t>[PIE]dhwel(dust, cloud, vapor, smoke)</t>
    <phoneticPr fontId="1" type="noConversion"/>
  </si>
  <si>
    <t>sway</t>
    <phoneticPr fontId="1" type="noConversion"/>
  </si>
  <si>
    <t>bode</t>
    <phoneticPr fontId="3" type="noConversion"/>
  </si>
  <si>
    <t>bondage</t>
    <phoneticPr fontId="3" type="noConversion"/>
  </si>
  <si>
    <t>bonny</t>
    <phoneticPr fontId="3" type="noConversion"/>
  </si>
  <si>
    <t>boreal</t>
    <phoneticPr fontId="3" type="noConversion"/>
  </si>
  <si>
    <t>bouffant</t>
    <phoneticPr fontId="3" type="noConversion"/>
  </si>
  <si>
    <t>bough</t>
    <phoneticPr fontId="3" type="noConversion"/>
  </si>
  <si>
    <t>boulder</t>
    <phoneticPr fontId="3" type="noConversion"/>
  </si>
  <si>
    <t>bouncing</t>
    <phoneticPr fontId="3" type="noConversion"/>
  </si>
  <si>
    <t>bounteous</t>
    <phoneticPr fontId="3" type="noConversion"/>
  </si>
  <si>
    <t>bouquet</t>
    <phoneticPr fontId="3" type="noConversion"/>
  </si>
  <si>
    <t>bovine</t>
    <phoneticPr fontId="3" type="noConversion"/>
  </si>
  <si>
    <t>bowdlerize</t>
    <phoneticPr fontId="3" type="noConversion"/>
  </si>
  <si>
    <t>brackish</t>
    <phoneticPr fontId="3" type="noConversion"/>
  </si>
  <si>
    <t>brag</t>
    <phoneticPr fontId="3" type="noConversion"/>
  </si>
  <si>
    <t>braise</t>
    <phoneticPr fontId="3" type="noConversion"/>
  </si>
  <si>
    <t>brace</t>
    <phoneticPr fontId="3" type="noConversion"/>
  </si>
  <si>
    <t>brat</t>
    <phoneticPr fontId="3" type="noConversion"/>
  </si>
  <si>
    <t>brattish</t>
    <phoneticPr fontId="3" type="noConversion"/>
  </si>
  <si>
    <t>bray</t>
    <phoneticPr fontId="3" type="noConversion"/>
  </si>
  <si>
    <t>brew</t>
    <phoneticPr fontId="3" type="noConversion"/>
  </si>
  <si>
    <t>bricklayer</t>
    <phoneticPr fontId="3" type="noConversion"/>
  </si>
  <si>
    <t>brochure</t>
    <phoneticPr fontId="3" type="noConversion"/>
  </si>
  <si>
    <t>browse</t>
    <phoneticPr fontId="3" type="noConversion"/>
  </si>
  <si>
    <t>bruise</t>
    <phoneticPr fontId="3" type="noConversion"/>
  </si>
  <si>
    <t>brusque</t>
    <phoneticPr fontId="3" type="noConversion"/>
  </si>
  <si>
    <t>bucolic</t>
    <phoneticPr fontId="3" type="noConversion"/>
  </si>
  <si>
    <t>budget</t>
    <phoneticPr fontId="3" type="noConversion"/>
  </si>
  <si>
    <t>buffer</t>
    <phoneticPr fontId="3" type="noConversion"/>
  </si>
  <si>
    <t>buffet</t>
    <phoneticPr fontId="3" type="noConversion"/>
  </si>
  <si>
    <t>buffoon</t>
    <phoneticPr fontId="3" type="noConversion"/>
  </si>
  <si>
    <t>bullion</t>
    <phoneticPr fontId="3" type="noConversion"/>
  </si>
  <si>
    <t>bust</t>
    <phoneticPr fontId="3" type="noConversion"/>
  </si>
  <si>
    <t>butt</t>
    <phoneticPr fontId="3" type="noConversion"/>
  </si>
  <si>
    <t>buxom</t>
    <phoneticPr fontId="3" type="noConversion"/>
  </si>
  <si>
    <t>byline</t>
    <phoneticPr fontId="3" type="noConversion"/>
  </si>
  <si>
    <t>bodian(proclaim, announce; foretell)</t>
    <phoneticPr fontId="3" type="noConversion"/>
  </si>
  <si>
    <r>
      <t xml:space="preserve">vt. </t>
    </r>
    <r>
      <rPr>
        <sz val="18"/>
        <rFont val="宋体"/>
        <family val="3"/>
        <charset val="134"/>
      </rPr>
      <t>预示；为</t>
    </r>
    <r>
      <rPr>
        <sz val="18"/>
        <rFont val="Times New Roman"/>
        <family val="1"/>
      </rPr>
      <t>…</t>
    </r>
    <r>
      <rPr>
        <sz val="18"/>
        <rFont val="宋体"/>
        <family val="3"/>
        <charset val="134"/>
      </rPr>
      <t>的兆头</t>
    </r>
    <r>
      <rPr>
        <sz val="18"/>
        <rFont val="Times New Roman"/>
        <family val="1"/>
      </rPr>
      <t xml:space="preserve">vi. </t>
    </r>
    <r>
      <rPr>
        <sz val="18"/>
        <rFont val="宋体"/>
        <family val="3"/>
        <charset val="134"/>
      </rPr>
      <t>预示；</t>
    </r>
    <r>
      <rPr>
        <sz val="18"/>
        <rFont val="Times New Roman"/>
        <family val="1"/>
      </rPr>
      <t xml:space="preserve">v. </t>
    </r>
    <r>
      <rPr>
        <sz val="18"/>
        <rFont val="宋体"/>
        <family val="3"/>
        <charset val="134"/>
      </rPr>
      <t>停留；继续；遭到（</t>
    </r>
    <r>
      <rPr>
        <sz val="18"/>
        <rFont val="Times New Roman"/>
        <family val="1"/>
      </rPr>
      <t>bide</t>
    </r>
    <r>
      <rPr>
        <sz val="18"/>
        <rFont val="宋体"/>
        <family val="3"/>
        <charset val="134"/>
      </rPr>
      <t>的过去式）</t>
    </r>
    <phoneticPr fontId="3" type="noConversion"/>
  </si>
  <si>
    <t xml:space="preserve">  </t>
    <phoneticPr fontId="3" type="noConversion"/>
  </si>
  <si>
    <r>
      <t xml:space="preserve">n. </t>
    </r>
    <r>
      <rPr>
        <sz val="18"/>
        <rFont val="宋体"/>
        <family val="3"/>
        <charset val="134"/>
      </rPr>
      <t>标题下署名之行；铁路支线；副业；</t>
    </r>
    <r>
      <rPr>
        <sz val="18"/>
        <rFont val="Times New Roman"/>
        <family val="1"/>
      </rPr>
      <t xml:space="preserve">vt. </t>
    </r>
    <r>
      <rPr>
        <sz val="18"/>
        <rFont val="宋体"/>
        <family val="3"/>
        <charset val="134"/>
      </rPr>
      <t>署名</t>
    </r>
    <phoneticPr fontId="3" type="noConversion"/>
  </si>
  <si>
    <t>by+line</t>
    <phoneticPr fontId="3" type="noConversion"/>
  </si>
  <si>
    <t>=bonus</t>
    <phoneticPr fontId="3" type="noConversion"/>
  </si>
  <si>
    <r>
      <t xml:space="preserve">n. </t>
    </r>
    <r>
      <rPr>
        <sz val="18"/>
        <rFont val="宋体"/>
        <family val="3"/>
        <charset val="134"/>
      </rPr>
      <t>富矿带；带来好运之事；幸运</t>
    </r>
    <phoneticPr fontId="3" type="noConversion"/>
  </si>
  <si>
    <r>
      <t xml:space="preserve">n. </t>
    </r>
    <r>
      <rPr>
        <sz val="18"/>
        <rFont val="宋体"/>
        <family val="3"/>
        <charset val="134"/>
      </rPr>
      <t>奴役，束缚；奴役身份</t>
    </r>
    <phoneticPr fontId="3" type="noConversion"/>
  </si>
  <si>
    <t>[PIE]bheue(be, exist, dwell)</t>
    <phoneticPr fontId="3" type="noConversion"/>
  </si>
  <si>
    <r>
      <t xml:space="preserve">adj. </t>
    </r>
    <r>
      <rPr>
        <sz val="18"/>
        <rFont val="宋体"/>
        <family val="3"/>
        <charset val="134"/>
      </rPr>
      <t>漂亮的；健美的</t>
    </r>
    <phoneticPr fontId="3" type="noConversion"/>
  </si>
  <si>
    <r>
      <t>[</t>
    </r>
    <r>
      <rPr>
        <sz val="18"/>
        <rFont val="宋体"/>
        <family val="3"/>
        <charset val="134"/>
      </rPr>
      <t>法</t>
    </r>
    <r>
      <rPr>
        <sz val="18"/>
        <rFont val="Times New Roman"/>
        <family val="1"/>
      </rPr>
      <t>]bon(good)</t>
    </r>
    <phoneticPr fontId="3" type="noConversion"/>
  </si>
  <si>
    <r>
      <t xml:space="preserve">adj. </t>
    </r>
    <r>
      <rPr>
        <sz val="18"/>
        <rFont val="宋体"/>
        <family val="3"/>
        <charset val="134"/>
      </rPr>
      <t>北的，北方的；北风的</t>
    </r>
    <phoneticPr fontId="3" type="noConversion"/>
  </si>
  <si>
    <r>
      <t>[</t>
    </r>
    <r>
      <rPr>
        <sz val="18"/>
        <rFont val="宋体"/>
        <family val="3"/>
        <charset val="134"/>
      </rPr>
      <t>希</t>
    </r>
    <r>
      <rPr>
        <sz val="18"/>
        <rFont val="Times New Roman"/>
        <family val="1"/>
      </rPr>
      <t>]Boreas(</t>
    </r>
    <r>
      <rPr>
        <sz val="18"/>
        <rFont val="宋体"/>
        <family val="3"/>
        <charset val="134"/>
      </rPr>
      <t>北风之神</t>
    </r>
    <r>
      <rPr>
        <sz val="18"/>
        <rFont val="Times New Roman"/>
        <family val="1"/>
      </rPr>
      <t>)</t>
    </r>
    <phoneticPr fontId="3" type="noConversion"/>
  </si>
  <si>
    <r>
      <t xml:space="preserve">adj. </t>
    </r>
    <r>
      <rPr>
        <sz val="18"/>
        <rFont val="宋体"/>
        <family val="3"/>
        <charset val="134"/>
      </rPr>
      <t>鼓起的，蓬松的；向外胀起的；</t>
    </r>
    <r>
      <rPr>
        <sz val="18"/>
        <rFont val="Times New Roman"/>
        <family val="1"/>
      </rPr>
      <t xml:space="preserve">n. </t>
    </r>
    <r>
      <rPr>
        <sz val="18"/>
        <rFont val="宋体"/>
        <family val="3"/>
        <charset val="134"/>
      </rPr>
      <t>蓬松的发式</t>
    </r>
    <phoneticPr fontId="3" type="noConversion"/>
  </si>
  <si>
    <t>=puff</t>
    <phoneticPr fontId="3" type="noConversion"/>
  </si>
  <si>
    <r>
      <t xml:space="preserve">n. </t>
    </r>
    <r>
      <rPr>
        <sz val="18"/>
        <rFont val="宋体"/>
        <family val="3"/>
        <charset val="134"/>
      </rPr>
      <t>大树枝</t>
    </r>
    <phoneticPr fontId="3" type="noConversion"/>
  </si>
  <si>
    <t>=bow</t>
    <phoneticPr fontId="3" type="noConversion"/>
  </si>
  <si>
    <r>
      <t xml:space="preserve">n. </t>
    </r>
    <r>
      <rPr>
        <sz val="18"/>
        <rFont val="宋体"/>
        <family val="3"/>
        <charset val="134"/>
      </rPr>
      <t>卵石，大圆石；巨砾</t>
    </r>
    <phoneticPr fontId="3" type="noConversion"/>
  </si>
  <si>
    <t>[PIE]bhel(inflate, swell)</t>
    <phoneticPr fontId="3" type="noConversion"/>
  </si>
  <si>
    <r>
      <t xml:space="preserve">adj. </t>
    </r>
    <r>
      <rPr>
        <sz val="18"/>
        <rFont val="宋体"/>
        <family val="3"/>
        <charset val="134"/>
      </rPr>
      <t>跳跃的；巨大的；活泼的</t>
    </r>
    <phoneticPr fontId="3" type="noConversion"/>
  </si>
  <si>
    <t>bounce</t>
    <phoneticPr fontId="3" type="noConversion"/>
  </si>
  <si>
    <r>
      <t xml:space="preserve">adj. </t>
    </r>
    <r>
      <rPr>
        <sz val="18"/>
        <rFont val="宋体"/>
        <family val="3"/>
        <charset val="134"/>
      </rPr>
      <t>慷慨的；丰富的；充裕的</t>
    </r>
    <phoneticPr fontId="3" type="noConversion"/>
  </si>
  <si>
    <t>bounty, =bonus</t>
    <phoneticPr fontId="3" type="noConversion"/>
  </si>
  <si>
    <r>
      <t xml:space="preserve">n. </t>
    </r>
    <r>
      <rPr>
        <sz val="18"/>
        <rFont val="宋体"/>
        <family val="3"/>
        <charset val="134"/>
      </rPr>
      <t>花束；酒香</t>
    </r>
    <phoneticPr fontId="3" type="noConversion"/>
  </si>
  <si>
    <t>=bush</t>
    <phoneticPr fontId="3" type="noConversion"/>
  </si>
  <si>
    <r>
      <t xml:space="preserve">adj. </t>
    </r>
    <r>
      <rPr>
        <sz val="18"/>
        <rFont val="宋体"/>
        <family val="3"/>
        <charset val="134"/>
      </rPr>
      <t>牛的；似牛的；迟钝的；</t>
    </r>
    <r>
      <rPr>
        <sz val="18"/>
        <rFont val="Times New Roman"/>
        <family val="1"/>
      </rPr>
      <t xml:space="preserve">n. </t>
    </r>
    <r>
      <rPr>
        <sz val="18"/>
        <rFont val="宋体"/>
        <family val="3"/>
        <charset val="134"/>
      </rPr>
      <t>牛科动物</t>
    </r>
    <phoneticPr fontId="3" type="noConversion"/>
  </si>
  <si>
    <t>=beef</t>
    <phoneticPr fontId="3" type="noConversion"/>
  </si>
  <si>
    <r>
      <t xml:space="preserve">vt. </t>
    </r>
    <r>
      <rPr>
        <sz val="18"/>
        <rFont val="宋体"/>
        <family val="3"/>
        <charset val="134"/>
      </rPr>
      <t>删改；删除不妥的文句</t>
    </r>
    <phoneticPr fontId="3" type="noConversion"/>
  </si>
  <si>
    <t>Dr Thomas Bowdler (1754–1825), an English editor</t>
    <phoneticPr fontId="3" type="noConversion"/>
  </si>
  <si>
    <r>
      <t xml:space="preserve">n. </t>
    </r>
    <r>
      <rPr>
        <sz val="18"/>
        <rFont val="宋体"/>
        <family val="3"/>
        <charset val="134"/>
      </rPr>
      <t>支柱；</t>
    </r>
    <r>
      <rPr>
        <sz val="18"/>
        <rFont val="Times New Roman"/>
        <family val="1"/>
      </rPr>
      <t>[</t>
    </r>
    <r>
      <rPr>
        <sz val="18"/>
        <rFont val="宋体"/>
        <family val="3"/>
        <charset val="134"/>
      </rPr>
      <t>语</t>
    </r>
    <r>
      <rPr>
        <sz val="18"/>
        <rFont val="Times New Roman"/>
        <family val="1"/>
      </rPr>
      <t xml:space="preserve">] </t>
    </r>
    <r>
      <rPr>
        <sz val="18"/>
        <rFont val="宋体"/>
        <family val="3"/>
        <charset val="134"/>
      </rPr>
      <t>大括号；曲柄；</t>
    </r>
    <r>
      <rPr>
        <sz val="18"/>
        <rFont val="Times New Roman"/>
        <family val="1"/>
      </rPr>
      <t xml:space="preserve">vt. </t>
    </r>
    <r>
      <rPr>
        <sz val="18"/>
        <rFont val="宋体"/>
        <family val="3"/>
        <charset val="134"/>
      </rPr>
      <t>支撑；振作起来；激励；撑牢；</t>
    </r>
    <r>
      <rPr>
        <sz val="18"/>
        <rFont val="Times New Roman"/>
        <family val="1"/>
      </rPr>
      <t xml:space="preserve">vi. </t>
    </r>
    <r>
      <rPr>
        <sz val="18"/>
        <rFont val="宋体"/>
        <family val="3"/>
        <charset val="134"/>
      </rPr>
      <t>支持；打起精神；</t>
    </r>
    <r>
      <rPr>
        <sz val="18"/>
        <rFont val="Times New Roman"/>
        <family val="1"/>
      </rPr>
      <t xml:space="preserve">adj. </t>
    </r>
    <r>
      <rPr>
        <sz val="18"/>
        <rFont val="宋体"/>
        <family val="3"/>
        <charset val="134"/>
      </rPr>
      <t>曲柄的</t>
    </r>
    <phoneticPr fontId="3" type="noConversion"/>
  </si>
  <si>
    <t>=embrace</t>
    <phoneticPr fontId="3" type="noConversion"/>
  </si>
  <si>
    <r>
      <t xml:space="preserve">n. </t>
    </r>
    <r>
      <rPr>
        <sz val="18"/>
        <rFont val="宋体"/>
        <family val="3"/>
        <charset val="134"/>
      </rPr>
      <t>手册，小册子</t>
    </r>
    <phoneticPr fontId="3" type="noConversion"/>
  </si>
  <si>
    <t>=broach</t>
    <phoneticPr fontId="3" type="noConversion"/>
  </si>
  <si>
    <r>
      <t xml:space="preserve">adj. </t>
    </r>
    <r>
      <rPr>
        <sz val="18"/>
        <rFont val="宋体"/>
        <family val="3"/>
        <charset val="134"/>
      </rPr>
      <t>含盐的；令人不快的；难吃的</t>
    </r>
    <phoneticPr fontId="3" type="noConversion"/>
  </si>
  <si>
    <r>
      <t>[</t>
    </r>
    <r>
      <rPr>
        <sz val="18"/>
        <rFont val="宋体"/>
        <family val="3"/>
        <charset val="134"/>
      </rPr>
      <t>荷</t>
    </r>
    <r>
      <rPr>
        <sz val="18"/>
        <rFont val="Times New Roman"/>
        <family val="1"/>
      </rPr>
      <t>]brak(brackish)</t>
    </r>
    <phoneticPr fontId="3" type="noConversion"/>
  </si>
  <si>
    <r>
      <t xml:space="preserve">n. </t>
    </r>
    <r>
      <rPr>
        <sz val="18"/>
        <rFont val="宋体"/>
        <family val="3"/>
        <charset val="134"/>
      </rPr>
      <t>（峭壁的）边缘</t>
    </r>
    <phoneticPr fontId="3" type="noConversion"/>
  </si>
  <si>
    <t>[PIE]bhren(project, edge)</t>
    <phoneticPr fontId="3" type="noConversion"/>
  </si>
  <si>
    <r>
      <t xml:space="preserve">adj. </t>
    </r>
    <r>
      <rPr>
        <sz val="18"/>
        <rFont val="宋体"/>
        <family val="3"/>
        <charset val="134"/>
      </rPr>
      <t>过去的；</t>
    </r>
    <r>
      <rPr>
        <sz val="18"/>
        <rFont val="Times New Roman"/>
        <family val="1"/>
      </rPr>
      <t xml:space="preserve">n. </t>
    </r>
    <r>
      <rPr>
        <sz val="18"/>
        <rFont val="宋体"/>
        <family val="3"/>
        <charset val="134"/>
      </rPr>
      <t>过去的事</t>
    </r>
    <phoneticPr fontId="3" type="noConversion"/>
  </si>
  <si>
    <t>by+gone</t>
    <phoneticPr fontId="3" type="noConversion"/>
  </si>
  <si>
    <r>
      <t xml:space="preserve">n. </t>
    </r>
    <r>
      <rPr>
        <sz val="18"/>
        <rFont val="宋体"/>
        <family val="3"/>
        <charset val="134"/>
      </rPr>
      <t>预算，预算费；</t>
    </r>
    <r>
      <rPr>
        <sz val="18"/>
        <rFont val="Times New Roman"/>
        <family val="1"/>
      </rPr>
      <t xml:space="preserve">vt. </t>
    </r>
    <r>
      <rPr>
        <sz val="18"/>
        <rFont val="宋体"/>
        <family val="3"/>
        <charset val="134"/>
      </rPr>
      <t>安排，预定；把</t>
    </r>
    <r>
      <rPr>
        <sz val="18"/>
        <rFont val="Times New Roman"/>
        <family val="1"/>
      </rPr>
      <t>…</t>
    </r>
    <r>
      <rPr>
        <sz val="18"/>
        <rFont val="宋体"/>
        <family val="3"/>
        <charset val="134"/>
      </rPr>
      <t>编入预算；</t>
    </r>
    <r>
      <rPr>
        <sz val="18"/>
        <rFont val="Times New Roman"/>
        <family val="1"/>
      </rPr>
      <t xml:space="preserve">vi. </t>
    </r>
    <r>
      <rPr>
        <sz val="18"/>
        <rFont val="宋体"/>
        <family val="3"/>
        <charset val="134"/>
      </rPr>
      <t>编预算，做预算；</t>
    </r>
    <r>
      <rPr>
        <sz val="18"/>
        <rFont val="Times New Roman"/>
        <family val="1"/>
      </rPr>
      <t xml:space="preserve">adj. </t>
    </r>
    <r>
      <rPr>
        <sz val="18"/>
        <rFont val="宋体"/>
        <family val="3"/>
        <charset val="134"/>
      </rPr>
      <t>廉价的</t>
    </r>
    <phoneticPr fontId="3" type="noConversion"/>
  </si>
  <si>
    <r>
      <t>[</t>
    </r>
    <r>
      <rPr>
        <sz val="18"/>
        <rFont val="宋体"/>
        <family val="3"/>
        <charset val="134"/>
      </rPr>
      <t>法</t>
    </r>
    <r>
      <rPr>
        <sz val="18"/>
        <rFont val="Times New Roman"/>
        <family val="1"/>
      </rPr>
      <t>]bouge(leather bag)</t>
    </r>
    <phoneticPr fontId="3" type="noConversion"/>
  </si>
  <si>
    <r>
      <t>n. [</t>
    </r>
    <r>
      <rPr>
        <sz val="18"/>
        <rFont val="宋体"/>
        <family val="3"/>
        <charset val="134"/>
      </rPr>
      <t>计</t>
    </r>
    <r>
      <rPr>
        <sz val="18"/>
        <rFont val="Times New Roman"/>
        <family val="1"/>
      </rPr>
      <t xml:space="preserve">] </t>
    </r>
    <r>
      <rPr>
        <sz val="18"/>
        <rFont val="宋体"/>
        <family val="3"/>
        <charset val="134"/>
      </rPr>
      <t>缓冲区；缓冲器，</t>
    </r>
    <r>
      <rPr>
        <sz val="18"/>
        <rFont val="Times New Roman"/>
        <family val="1"/>
      </rPr>
      <t>[</t>
    </r>
    <r>
      <rPr>
        <sz val="18"/>
        <rFont val="宋体"/>
        <family val="3"/>
        <charset val="134"/>
      </rPr>
      <t>车辆</t>
    </r>
    <r>
      <rPr>
        <sz val="18"/>
        <rFont val="Times New Roman"/>
        <family val="1"/>
      </rPr>
      <t xml:space="preserve">] </t>
    </r>
    <r>
      <rPr>
        <sz val="18"/>
        <rFont val="宋体"/>
        <family val="3"/>
        <charset val="134"/>
      </rPr>
      <t>减震器；</t>
    </r>
    <r>
      <rPr>
        <sz val="18"/>
        <rFont val="Times New Roman"/>
        <family val="1"/>
      </rPr>
      <t xml:space="preserve">vt. </t>
    </r>
    <r>
      <rPr>
        <sz val="18"/>
        <rFont val="宋体"/>
        <family val="3"/>
        <charset val="134"/>
      </rPr>
      <t>缓冲</t>
    </r>
    <phoneticPr fontId="3" type="noConversion"/>
  </si>
  <si>
    <t>puff</t>
    <phoneticPr fontId="3" type="noConversion"/>
  </si>
  <si>
    <r>
      <t xml:space="preserve">n. </t>
    </r>
    <r>
      <rPr>
        <sz val="18"/>
        <rFont val="宋体"/>
        <family val="3"/>
        <charset val="134"/>
      </rPr>
      <t>吹牛，自夸；</t>
    </r>
    <r>
      <rPr>
        <sz val="18"/>
        <rFont val="Times New Roman"/>
        <family val="1"/>
      </rPr>
      <t xml:space="preserve">vi. </t>
    </r>
    <r>
      <rPr>
        <sz val="18"/>
        <rFont val="宋体"/>
        <family val="3"/>
        <charset val="134"/>
      </rPr>
      <t>吹牛，自夸；</t>
    </r>
    <r>
      <rPr>
        <sz val="18"/>
        <rFont val="Times New Roman"/>
        <family val="1"/>
      </rPr>
      <t xml:space="preserve">vt. </t>
    </r>
    <r>
      <rPr>
        <sz val="18"/>
        <rFont val="宋体"/>
        <family val="3"/>
        <charset val="134"/>
      </rPr>
      <t>吹牛，吹嘘</t>
    </r>
    <phoneticPr fontId="3" type="noConversion"/>
  </si>
  <si>
    <t>拟声词</t>
    <phoneticPr fontId="3" type="noConversion"/>
  </si>
  <si>
    <r>
      <t xml:space="preserve">n. </t>
    </r>
    <r>
      <rPr>
        <sz val="18"/>
        <rFont val="宋体"/>
        <family val="3"/>
        <charset val="134"/>
      </rPr>
      <t>砖匠</t>
    </r>
    <phoneticPr fontId="3" type="noConversion"/>
  </si>
  <si>
    <t>brick+lay</t>
    <phoneticPr fontId="3" type="noConversion"/>
  </si>
  <si>
    <r>
      <t xml:space="preserve">vt. </t>
    </r>
    <r>
      <rPr>
        <sz val="18"/>
        <rFont val="宋体"/>
        <family val="3"/>
        <charset val="134"/>
      </rPr>
      <t>酿造；酝酿；</t>
    </r>
    <r>
      <rPr>
        <sz val="18"/>
        <rFont val="Times New Roman"/>
        <family val="1"/>
      </rPr>
      <t xml:space="preserve">vi. </t>
    </r>
    <r>
      <rPr>
        <sz val="18"/>
        <rFont val="宋体"/>
        <family val="3"/>
        <charset val="134"/>
      </rPr>
      <t>酿酒；被冲泡；即将发生；</t>
    </r>
    <r>
      <rPr>
        <sz val="18"/>
        <rFont val="Times New Roman"/>
        <family val="1"/>
      </rPr>
      <t xml:space="preserve">n. </t>
    </r>
    <r>
      <rPr>
        <sz val="18"/>
        <rFont val="宋体"/>
        <family val="3"/>
        <charset val="134"/>
      </rPr>
      <t>啤酒；质地</t>
    </r>
    <phoneticPr fontId="3" type="noConversion"/>
  </si>
  <si>
    <t>=bread</t>
    <phoneticPr fontId="3" type="noConversion"/>
  </si>
  <si>
    <r>
      <t xml:space="preserve">vi. </t>
    </r>
    <r>
      <rPr>
        <sz val="18"/>
        <rFont val="宋体"/>
        <family val="3"/>
        <charset val="134"/>
      </rPr>
      <t>扣住；变弯曲；</t>
    </r>
    <r>
      <rPr>
        <sz val="18"/>
        <rFont val="Times New Roman"/>
        <family val="1"/>
      </rPr>
      <t xml:space="preserve">vt. </t>
    </r>
    <r>
      <rPr>
        <sz val="18"/>
        <rFont val="宋体"/>
        <family val="3"/>
        <charset val="134"/>
      </rPr>
      <t>扣住；使弯曲；</t>
    </r>
    <r>
      <rPr>
        <sz val="18"/>
        <rFont val="Times New Roman"/>
        <family val="1"/>
      </rPr>
      <t xml:space="preserve">n. </t>
    </r>
    <r>
      <rPr>
        <sz val="18"/>
        <rFont val="宋体"/>
        <family val="3"/>
        <charset val="134"/>
      </rPr>
      <t>皮带扣，带扣</t>
    </r>
    <phoneticPr fontId="3" type="noConversion"/>
  </si>
  <si>
    <r>
      <t>[</t>
    </r>
    <r>
      <rPr>
        <sz val="18"/>
        <rFont val="宋体"/>
        <family val="3"/>
        <charset val="134"/>
      </rPr>
      <t>拉</t>
    </r>
    <r>
      <rPr>
        <sz val="18"/>
        <rFont val="Times New Roman"/>
        <family val="1"/>
      </rPr>
      <t>]buccula(boss in the middl of a shield)</t>
    </r>
    <phoneticPr fontId="3" type="noConversion"/>
  </si>
  <si>
    <r>
      <t xml:space="preserve">n. </t>
    </r>
    <r>
      <rPr>
        <sz val="18"/>
        <rFont val="宋体"/>
        <family val="3"/>
        <charset val="134"/>
      </rPr>
      <t>吹嘘；好自夸者；大言者；</t>
    </r>
    <r>
      <rPr>
        <sz val="18"/>
        <rFont val="Times New Roman"/>
        <family val="1"/>
      </rPr>
      <t xml:space="preserve">adj. </t>
    </r>
    <r>
      <rPr>
        <sz val="18"/>
        <rFont val="宋体"/>
        <family val="3"/>
        <charset val="134"/>
      </rPr>
      <t>吹牛的；自夸的</t>
    </r>
    <phoneticPr fontId="3" type="noConversion"/>
  </si>
  <si>
    <t>brag</t>
    <phoneticPr fontId="3" type="noConversion"/>
  </si>
  <si>
    <r>
      <t xml:space="preserve">adj. </t>
    </r>
    <r>
      <rPr>
        <sz val="18"/>
        <rFont val="宋体"/>
        <family val="3"/>
        <charset val="134"/>
      </rPr>
      <t>（妇女）丰满的；健美的</t>
    </r>
    <phoneticPr fontId="3" type="noConversion"/>
  </si>
  <si>
    <r>
      <t xml:space="preserve">n. </t>
    </r>
    <r>
      <rPr>
        <sz val="18"/>
        <rFont val="宋体"/>
        <family val="3"/>
        <charset val="134"/>
      </rPr>
      <t>自助餐；小卖部；打击；猛烈冲击；</t>
    </r>
    <r>
      <rPr>
        <sz val="18"/>
        <rFont val="Times New Roman"/>
        <family val="1"/>
      </rPr>
      <t xml:space="preserve">vt. </t>
    </r>
    <r>
      <rPr>
        <sz val="18"/>
        <rFont val="宋体"/>
        <family val="3"/>
        <charset val="134"/>
      </rPr>
      <t>与</t>
    </r>
    <r>
      <rPr>
        <sz val="18"/>
        <rFont val="Times New Roman"/>
        <family val="1"/>
      </rPr>
      <t>…</t>
    </r>
    <r>
      <rPr>
        <sz val="18"/>
        <rFont val="宋体"/>
        <family val="3"/>
        <charset val="134"/>
      </rPr>
      <t>搏斗；连续猛击；</t>
    </r>
    <r>
      <rPr>
        <sz val="18"/>
        <rFont val="Times New Roman"/>
        <family val="1"/>
      </rPr>
      <t xml:space="preserve">vi. </t>
    </r>
    <r>
      <rPr>
        <sz val="18"/>
        <rFont val="宋体"/>
        <family val="3"/>
        <charset val="134"/>
      </rPr>
      <t>斗争；奋勇前进；</t>
    </r>
    <r>
      <rPr>
        <sz val="18"/>
        <rFont val="Times New Roman"/>
        <family val="1"/>
      </rPr>
      <t xml:space="preserve">adj. </t>
    </r>
    <r>
      <rPr>
        <sz val="18"/>
        <rFont val="宋体"/>
        <family val="3"/>
        <charset val="134"/>
      </rPr>
      <t>自助的；自助餐的</t>
    </r>
    <phoneticPr fontId="3" type="noConversion"/>
  </si>
  <si>
    <r>
      <t>[</t>
    </r>
    <r>
      <rPr>
        <sz val="18"/>
        <rFont val="宋体"/>
        <family val="3"/>
        <charset val="134"/>
      </rPr>
      <t>法</t>
    </r>
    <r>
      <rPr>
        <sz val="18"/>
        <rFont val="Times New Roman"/>
        <family val="1"/>
      </rPr>
      <t>]bufet(bench, stool, sideboard)</t>
    </r>
    <phoneticPr fontId="3" type="noConversion"/>
  </si>
  <si>
    <r>
      <t xml:space="preserve">vt. </t>
    </r>
    <r>
      <rPr>
        <sz val="18"/>
        <rFont val="宋体"/>
        <family val="3"/>
        <charset val="134"/>
      </rPr>
      <t>浏览；吃草；</t>
    </r>
    <r>
      <rPr>
        <sz val="18"/>
        <rFont val="Times New Roman"/>
        <family val="1"/>
      </rPr>
      <t xml:space="preserve">vi. </t>
    </r>
    <r>
      <rPr>
        <sz val="18"/>
        <rFont val="宋体"/>
        <family val="3"/>
        <charset val="134"/>
      </rPr>
      <t>浏览；吃草；漫不经心地看商品；</t>
    </r>
    <r>
      <rPr>
        <sz val="18"/>
        <rFont val="Times New Roman"/>
        <family val="1"/>
      </rPr>
      <t xml:space="preserve">n. </t>
    </r>
    <r>
      <rPr>
        <sz val="18"/>
        <rFont val="宋体"/>
        <family val="3"/>
        <charset val="134"/>
      </rPr>
      <t>浏览；吃草</t>
    </r>
    <phoneticPr fontId="3" type="noConversion"/>
  </si>
  <si>
    <r>
      <t>[</t>
    </r>
    <r>
      <rPr>
        <sz val="18"/>
        <rFont val="宋体"/>
        <family val="3"/>
        <charset val="134"/>
      </rPr>
      <t>法</t>
    </r>
    <r>
      <rPr>
        <sz val="18"/>
        <rFont val="Times New Roman"/>
        <family val="1"/>
      </rPr>
      <t>]brost(young shoots, twigs)</t>
    </r>
    <phoneticPr fontId="3" type="noConversion"/>
  </si>
  <si>
    <r>
      <t xml:space="preserve">vi. </t>
    </r>
    <r>
      <rPr>
        <sz val="18"/>
        <rFont val="宋体"/>
        <family val="3"/>
        <charset val="134"/>
      </rPr>
      <t>叫；捣碎；</t>
    </r>
    <r>
      <rPr>
        <sz val="18"/>
        <rFont val="Times New Roman"/>
        <family val="1"/>
      </rPr>
      <t xml:space="preserve">vt. </t>
    </r>
    <r>
      <rPr>
        <sz val="18"/>
        <rFont val="宋体"/>
        <family val="3"/>
        <charset val="134"/>
      </rPr>
      <t>叫；</t>
    </r>
    <r>
      <rPr>
        <sz val="18"/>
        <rFont val="Times New Roman"/>
        <family val="1"/>
      </rPr>
      <t xml:space="preserve">n. </t>
    </r>
    <r>
      <rPr>
        <sz val="18"/>
        <rFont val="宋体"/>
        <family val="3"/>
        <charset val="134"/>
      </rPr>
      <t>驴叫声；喇叭声</t>
    </r>
    <phoneticPr fontId="3" type="noConversion"/>
  </si>
  <si>
    <r>
      <t>[</t>
    </r>
    <r>
      <rPr>
        <sz val="18"/>
        <rFont val="宋体"/>
        <family val="3"/>
        <charset val="134"/>
      </rPr>
      <t>法</t>
    </r>
    <r>
      <rPr>
        <sz val="18"/>
        <rFont val="Times New Roman"/>
        <family val="1"/>
      </rPr>
      <t>]braire(cry)</t>
    </r>
    <phoneticPr fontId="3" type="noConversion"/>
  </si>
  <si>
    <r>
      <t xml:space="preserve">adj. </t>
    </r>
    <r>
      <rPr>
        <sz val="18"/>
        <rFont val="宋体"/>
        <family val="3"/>
        <charset val="134"/>
      </rPr>
      <t>被惯坏的；讨厌的；无礼的，幼稚的</t>
    </r>
    <phoneticPr fontId="3" type="noConversion"/>
  </si>
  <si>
    <r>
      <t xml:space="preserve">n. </t>
    </r>
    <r>
      <rPr>
        <sz val="18"/>
        <rFont val="宋体"/>
        <family val="3"/>
        <charset val="134"/>
      </rPr>
      <t>乳臭未干的小孩；顽童</t>
    </r>
    <phoneticPr fontId="3" type="noConversion"/>
  </si>
  <si>
    <r>
      <t>[</t>
    </r>
    <r>
      <rPr>
        <sz val="18"/>
        <rFont val="宋体"/>
        <family val="3"/>
        <charset val="134"/>
      </rPr>
      <t>爱尔兰</t>
    </r>
    <r>
      <rPr>
        <sz val="18"/>
        <rFont val="Times New Roman"/>
        <family val="1"/>
      </rPr>
      <t>]bratt(covering, mantle)</t>
    </r>
    <phoneticPr fontId="3" type="noConversion"/>
  </si>
  <si>
    <r>
      <t xml:space="preserve">vt. </t>
    </r>
    <r>
      <rPr>
        <sz val="18"/>
        <rFont val="宋体"/>
        <family val="3"/>
        <charset val="134"/>
      </rPr>
      <t>编织；</t>
    </r>
    <r>
      <rPr>
        <sz val="18"/>
        <rFont val="Times New Roman"/>
        <family val="1"/>
      </rPr>
      <t xml:space="preserve">n. </t>
    </r>
    <r>
      <rPr>
        <sz val="18"/>
        <rFont val="宋体"/>
        <family val="3"/>
        <charset val="134"/>
      </rPr>
      <t>辫子；穗带；发辫</t>
    </r>
    <phoneticPr fontId="3" type="noConversion"/>
  </si>
  <si>
    <t>[PIE]bherek(gleam, flash)</t>
    <phoneticPr fontId="3" type="noConversion"/>
  </si>
  <si>
    <r>
      <t xml:space="preserve">vt. </t>
    </r>
    <r>
      <rPr>
        <sz val="18"/>
        <rFont val="宋体"/>
        <family val="3"/>
        <charset val="134"/>
      </rPr>
      <t>炖；蒸；</t>
    </r>
    <r>
      <rPr>
        <sz val="18"/>
        <rFont val="Times New Roman"/>
        <family val="1"/>
      </rPr>
      <t xml:space="preserve">n. </t>
    </r>
    <r>
      <rPr>
        <sz val="18"/>
        <rFont val="宋体"/>
        <family val="3"/>
        <charset val="134"/>
      </rPr>
      <t>文火炖熟的肉；赤鲷</t>
    </r>
    <phoneticPr fontId="3" type="noConversion"/>
  </si>
  <si>
    <t>=burn</t>
    <phoneticPr fontId="3" type="noConversion"/>
  </si>
  <si>
    <r>
      <t xml:space="preserve">adj. </t>
    </r>
    <r>
      <rPr>
        <sz val="18"/>
        <rFont val="宋体"/>
        <family val="3"/>
        <charset val="134"/>
      </rPr>
      <t>丰盛的，丰富的；</t>
    </r>
    <r>
      <rPr>
        <sz val="18"/>
        <rFont val="Times New Roman"/>
        <family val="1"/>
      </rPr>
      <t xml:space="preserve">n. </t>
    </r>
    <r>
      <rPr>
        <sz val="18"/>
        <rFont val="宋体"/>
        <family val="3"/>
        <charset val="134"/>
      </rPr>
      <t>缓冲器，保险杆，减震物；</t>
    </r>
    <r>
      <rPr>
        <sz val="18"/>
        <rFont val="Times New Roman"/>
        <family val="1"/>
      </rPr>
      <t xml:space="preserve">vt. </t>
    </r>
    <r>
      <rPr>
        <sz val="18"/>
        <rFont val="宋体"/>
        <family val="3"/>
        <charset val="134"/>
      </rPr>
      <t>装满；为</t>
    </r>
    <r>
      <rPr>
        <sz val="18"/>
        <rFont val="Times New Roman"/>
        <family val="1"/>
      </rPr>
      <t>…</t>
    </r>
    <r>
      <rPr>
        <sz val="18"/>
        <rFont val="宋体"/>
        <family val="3"/>
        <charset val="134"/>
      </rPr>
      <t>祝酒；</t>
    </r>
    <r>
      <rPr>
        <sz val="18"/>
        <rFont val="Times New Roman"/>
        <family val="1"/>
      </rPr>
      <t xml:space="preserve">vi. </t>
    </r>
    <r>
      <rPr>
        <sz val="18"/>
        <rFont val="宋体"/>
        <family val="3"/>
        <charset val="134"/>
      </rPr>
      <t>干杯</t>
    </r>
    <phoneticPr fontId="3" type="noConversion"/>
  </si>
  <si>
    <t>bump</t>
    <phoneticPr fontId="3" type="noConversion"/>
  </si>
  <si>
    <r>
      <t xml:space="preserve">vi. </t>
    </r>
    <r>
      <rPr>
        <sz val="18"/>
        <rFont val="宋体"/>
        <family val="3"/>
        <charset val="134"/>
      </rPr>
      <t>破产；爆裂；降低级别；</t>
    </r>
    <r>
      <rPr>
        <sz val="18"/>
        <rFont val="Times New Roman"/>
        <family val="1"/>
      </rPr>
      <t xml:space="preserve">vt. </t>
    </r>
    <r>
      <rPr>
        <sz val="18"/>
        <rFont val="宋体"/>
        <family val="3"/>
        <charset val="134"/>
      </rPr>
      <t>使破产；使爆裂；逮捕；</t>
    </r>
    <r>
      <rPr>
        <sz val="18"/>
        <rFont val="Times New Roman"/>
        <family val="1"/>
      </rPr>
      <t xml:space="preserve">n. </t>
    </r>
    <r>
      <rPr>
        <sz val="18"/>
        <rFont val="宋体"/>
        <family val="3"/>
        <charset val="134"/>
      </rPr>
      <t>破产；半身像；萧条；胸部；</t>
    </r>
    <r>
      <rPr>
        <sz val="18"/>
        <rFont val="Times New Roman"/>
        <family val="1"/>
      </rPr>
      <t xml:space="preserve">adj. </t>
    </r>
    <r>
      <rPr>
        <sz val="18"/>
        <rFont val="宋体"/>
        <family val="3"/>
        <charset val="134"/>
      </rPr>
      <t>破产了的；毁坏了的</t>
    </r>
    <phoneticPr fontId="3" type="noConversion"/>
  </si>
  <si>
    <r>
      <t>[</t>
    </r>
    <r>
      <rPr>
        <sz val="18"/>
        <rFont val="宋体"/>
        <family val="3"/>
        <charset val="134"/>
      </rPr>
      <t>意</t>
    </r>
    <r>
      <rPr>
        <sz val="18"/>
        <rFont val="Times New Roman"/>
        <family val="1"/>
      </rPr>
      <t>]busto(upper body)</t>
    </r>
    <phoneticPr fontId="3" type="noConversion"/>
  </si>
  <si>
    <r>
      <t xml:space="preserve">n. </t>
    </r>
    <r>
      <rPr>
        <sz val="18"/>
        <rFont val="宋体"/>
        <family val="3"/>
        <charset val="134"/>
      </rPr>
      <t>屁股；烟头；笑柄；靶垛；粗大的一端；</t>
    </r>
    <r>
      <rPr>
        <sz val="18"/>
        <rFont val="Times New Roman"/>
        <family val="1"/>
      </rPr>
      <t xml:space="preserve">vt. </t>
    </r>
    <r>
      <rPr>
        <sz val="18"/>
        <rFont val="宋体"/>
        <family val="3"/>
        <charset val="134"/>
      </rPr>
      <t>以头抵撞；碰撞</t>
    </r>
    <phoneticPr fontId="3" type="noConversion"/>
  </si>
  <si>
    <t>=button</t>
    <phoneticPr fontId="3" type="noConversion"/>
  </si>
  <si>
    <r>
      <t xml:space="preserve">n. </t>
    </r>
    <r>
      <rPr>
        <sz val="18"/>
        <rFont val="宋体"/>
        <family val="3"/>
        <charset val="134"/>
      </rPr>
      <t>金银；纯金；金银块</t>
    </r>
    <phoneticPr fontId="3" type="noConversion"/>
  </si>
  <si>
    <t>=boil</t>
    <phoneticPr fontId="3" type="noConversion"/>
  </si>
  <si>
    <r>
      <t xml:space="preserve">adj. </t>
    </r>
    <r>
      <rPr>
        <sz val="18"/>
        <rFont val="宋体"/>
        <family val="3"/>
        <charset val="134"/>
      </rPr>
      <t>体积大的；庞大的；笨重的</t>
    </r>
    <phoneticPr fontId="3" type="noConversion"/>
  </si>
  <si>
    <t>bulk</t>
    <phoneticPr fontId="3" type="noConversion"/>
  </si>
  <si>
    <r>
      <t xml:space="preserve">n. </t>
    </r>
    <r>
      <rPr>
        <sz val="18"/>
        <rFont val="宋体"/>
        <family val="3"/>
        <charset val="134"/>
      </rPr>
      <t>丑角；滑稽剧演员</t>
    </r>
    <phoneticPr fontId="3" type="noConversion"/>
  </si>
  <si>
    <r>
      <t>[</t>
    </r>
    <r>
      <rPr>
        <sz val="18"/>
        <rFont val="宋体"/>
        <family val="3"/>
        <charset val="134"/>
      </rPr>
      <t>意</t>
    </r>
    <r>
      <rPr>
        <sz val="18"/>
        <rFont val="Times New Roman"/>
        <family val="1"/>
      </rPr>
      <t>]buffone(jester)</t>
    </r>
    <phoneticPr fontId="3" type="noConversion"/>
  </si>
  <si>
    <r>
      <t xml:space="preserve">adj. </t>
    </r>
    <r>
      <rPr>
        <sz val="18"/>
        <rFont val="宋体"/>
        <family val="3"/>
        <charset val="134"/>
      </rPr>
      <t>牧歌的；牧羊的；乡下风味的；</t>
    </r>
    <r>
      <rPr>
        <sz val="18"/>
        <rFont val="Times New Roman"/>
        <family val="1"/>
      </rPr>
      <t xml:space="preserve">n. </t>
    </r>
    <r>
      <rPr>
        <sz val="18"/>
        <rFont val="宋体"/>
        <family val="3"/>
        <charset val="134"/>
      </rPr>
      <t>田园诗；农夫</t>
    </r>
    <phoneticPr fontId="3" type="noConversion"/>
  </si>
  <si>
    <t>bous(cow)+kolos(tending)</t>
    <phoneticPr fontId="3" type="noConversion"/>
  </si>
  <si>
    <r>
      <t xml:space="preserve">n. </t>
    </r>
    <r>
      <rPr>
        <sz val="18"/>
        <rFont val="宋体"/>
        <family val="3"/>
        <charset val="134"/>
      </rPr>
      <t>无情；残忍；暴行（需用复数形式）</t>
    </r>
    <phoneticPr fontId="3" type="noConversion"/>
  </si>
  <si>
    <t>brutal</t>
    <phoneticPr fontId="3" type="noConversion"/>
  </si>
  <si>
    <r>
      <t xml:space="preserve">adj. </t>
    </r>
    <r>
      <rPr>
        <sz val="18"/>
        <rFont val="宋体"/>
        <family val="3"/>
        <charset val="134"/>
      </rPr>
      <t>唐突的；直率的；无礼的</t>
    </r>
    <phoneticPr fontId="3" type="noConversion"/>
  </si>
  <si>
    <t>=brisk</t>
    <phoneticPr fontId="3" type="noConversion"/>
  </si>
  <si>
    <r>
      <t xml:space="preserve">n. </t>
    </r>
    <r>
      <rPr>
        <sz val="18"/>
        <rFont val="宋体"/>
        <family val="3"/>
        <charset val="134"/>
      </rPr>
      <t>擦伤；挫伤；青肿；</t>
    </r>
    <r>
      <rPr>
        <sz val="18"/>
        <rFont val="Times New Roman"/>
        <family val="1"/>
      </rPr>
      <t xml:space="preserve">vt. </t>
    </r>
    <r>
      <rPr>
        <sz val="18"/>
        <rFont val="宋体"/>
        <family val="3"/>
        <charset val="134"/>
      </rPr>
      <t>使受瘀伤；使受挫伤；</t>
    </r>
    <r>
      <rPr>
        <sz val="18"/>
        <rFont val="Times New Roman"/>
        <family val="1"/>
      </rPr>
      <t xml:space="preserve">vi. </t>
    </r>
    <r>
      <rPr>
        <sz val="18"/>
        <rFont val="宋体"/>
        <family val="3"/>
        <charset val="134"/>
      </rPr>
      <t>擦伤；受伤</t>
    </r>
    <phoneticPr fontId="3" type="noConversion"/>
  </si>
  <si>
    <t>=debris</t>
    <phoneticPr fontId="3" type="noConversion"/>
  </si>
  <si>
    <t>cabinet</t>
    <phoneticPr fontId="3" type="noConversion"/>
  </si>
  <si>
    <t>cantankerous</t>
    <phoneticPr fontId="3" type="noConversion"/>
  </si>
  <si>
    <t>capture</t>
    <phoneticPr fontId="3" type="noConversion"/>
  </si>
  <si>
    <t>cardiac</t>
    <phoneticPr fontId="3" type="noConversion"/>
  </si>
  <si>
    <t>carnage</t>
    <phoneticPr fontId="3" type="noConversion"/>
  </si>
  <si>
    <t>carnivorous</t>
    <phoneticPr fontId="3" type="noConversion"/>
  </si>
  <si>
    <t>caste</t>
    <phoneticPr fontId="3" type="noConversion"/>
  </si>
  <si>
    <t>cater</t>
    <phoneticPr fontId="3" type="noConversion"/>
  </si>
  <si>
    <t>caterpillar</t>
    <phoneticPr fontId="3" type="noConversion"/>
  </si>
  <si>
    <t>causal</t>
    <phoneticPr fontId="3" type="noConversion"/>
  </si>
  <si>
    <t>cautionary</t>
    <phoneticPr fontId="3" type="noConversion"/>
  </si>
  <si>
    <t>cavity</t>
    <phoneticPr fontId="3" type="noConversion"/>
  </si>
  <si>
    <t>celestial</t>
    <phoneticPr fontId="3" type="noConversion"/>
  </si>
  <si>
    <t>celibate</t>
    <phoneticPr fontId="3" type="noConversion"/>
  </si>
  <si>
    <t>ceramic</t>
    <phoneticPr fontId="3" type="noConversion"/>
  </si>
  <si>
    <t>cerebral</t>
    <phoneticPr fontId="3" type="noConversion"/>
  </si>
  <si>
    <t>chafe</t>
    <phoneticPr fontId="3" type="noConversion"/>
  </si>
  <si>
    <t>chancy</t>
    <phoneticPr fontId="3" type="noConversion"/>
  </si>
  <si>
    <t>chantey</t>
    <phoneticPr fontId="3" type="noConversion"/>
  </si>
  <si>
    <t>charitable</t>
    <phoneticPr fontId="3" type="noConversion"/>
  </si>
  <si>
    <t>charter</t>
    <phoneticPr fontId="3" type="noConversion"/>
  </si>
  <si>
    <t>chastisement</t>
    <phoneticPr fontId="3" type="noConversion"/>
  </si>
  <si>
    <t>choppy</t>
    <phoneticPr fontId="3" type="noConversion"/>
  </si>
  <si>
    <t>choreographic</t>
    <phoneticPr fontId="3" type="noConversion"/>
  </si>
  <si>
    <t>chronological</t>
    <phoneticPr fontId="3" type="noConversion"/>
  </si>
  <si>
    <t>chubby</t>
    <phoneticPr fontId="3" type="noConversion"/>
  </si>
  <si>
    <t>circumstantial</t>
    <phoneticPr fontId="3" type="noConversion"/>
  </si>
  <si>
    <t>cite</t>
    <phoneticPr fontId="3" type="noConversion"/>
  </si>
  <si>
    <t>clamber</t>
    <phoneticPr fontId="3" type="noConversion"/>
  </si>
  <si>
    <t>clannish</t>
    <phoneticPr fontId="3" type="noConversion"/>
  </si>
  <si>
    <t>clause</t>
    <phoneticPr fontId="3" type="noConversion"/>
  </si>
  <si>
    <t>claustrophobic</t>
    <phoneticPr fontId="3" type="noConversion"/>
  </si>
  <si>
    <t>climax</t>
    <phoneticPr fontId="3" type="noConversion"/>
  </si>
  <si>
    <t>clinical</t>
    <phoneticPr fontId="3" type="noConversion"/>
  </si>
  <si>
    <t>closet</t>
    <phoneticPr fontId="3" type="noConversion"/>
  </si>
  <si>
    <t>clutter</t>
    <phoneticPr fontId="3" type="noConversion"/>
  </si>
  <si>
    <t>coercion</t>
    <phoneticPr fontId="3" type="noConversion"/>
  </si>
  <si>
    <t>coherent</t>
    <phoneticPr fontId="3" type="noConversion"/>
  </si>
  <si>
    <t>coincident</t>
    <phoneticPr fontId="3" type="noConversion"/>
  </si>
  <si>
    <t>collateral</t>
    <phoneticPr fontId="3" type="noConversion"/>
  </si>
  <si>
    <t>colloquial</t>
    <phoneticPr fontId="3" type="noConversion"/>
  </si>
  <si>
    <t>colony</t>
    <phoneticPr fontId="3" type="noConversion"/>
  </si>
  <si>
    <t>combative</t>
    <phoneticPr fontId="3" type="noConversion"/>
  </si>
  <si>
    <t>cometary</t>
    <phoneticPr fontId="3" type="noConversion"/>
  </si>
  <si>
    <t>comic</t>
    <phoneticPr fontId="3" type="noConversion"/>
  </si>
  <si>
    <t>commercialize</t>
    <phoneticPr fontId="3" type="noConversion"/>
  </si>
  <si>
    <r>
      <t xml:space="preserve">n. </t>
    </r>
    <r>
      <rPr>
        <sz val="18"/>
        <rFont val="宋体"/>
        <family val="3"/>
        <charset val="134"/>
      </rPr>
      <t>内阁；橱柜；展览艺术品的小陈列室；</t>
    </r>
    <r>
      <rPr>
        <sz val="18"/>
        <rFont val="Times New Roman"/>
        <family val="1"/>
      </rPr>
      <t xml:space="preserve">adj. </t>
    </r>
    <r>
      <rPr>
        <sz val="18"/>
        <rFont val="宋体"/>
        <family val="3"/>
        <charset val="134"/>
      </rPr>
      <t>内阁的；私下的，秘密的</t>
    </r>
    <phoneticPr fontId="3" type="noConversion"/>
  </si>
  <si>
    <t>cabin</t>
    <phoneticPr fontId="3" type="noConversion"/>
  </si>
  <si>
    <r>
      <t xml:space="preserve">adj. </t>
    </r>
    <r>
      <rPr>
        <sz val="18"/>
        <rFont val="宋体"/>
        <family val="3"/>
        <charset val="134"/>
      </rPr>
      <t>脾气坏的；爱吵架的；难相处的</t>
    </r>
    <phoneticPr fontId="3" type="noConversion"/>
  </si>
  <si>
    <t>contakour(troublemaker)</t>
    <phoneticPr fontId="3" type="noConversion"/>
  </si>
  <si>
    <r>
      <t xml:space="preserve">vt. </t>
    </r>
    <r>
      <rPr>
        <sz val="18"/>
        <rFont val="宋体"/>
        <family val="3"/>
        <charset val="134"/>
      </rPr>
      <t>俘获；夺得；捕捉，拍摄；</t>
    </r>
    <r>
      <rPr>
        <sz val="18"/>
        <rFont val="Times New Roman"/>
        <family val="1"/>
      </rPr>
      <t xml:space="preserve">n. </t>
    </r>
    <r>
      <rPr>
        <sz val="18"/>
        <rFont val="宋体"/>
        <family val="3"/>
        <charset val="134"/>
      </rPr>
      <t>捕获；战利品，俘虏</t>
    </r>
    <phoneticPr fontId="3" type="noConversion"/>
  </si>
  <si>
    <r>
      <t>[</t>
    </r>
    <r>
      <rPr>
        <sz val="18"/>
        <rFont val="宋体"/>
        <family val="3"/>
        <charset val="134"/>
      </rPr>
      <t>拉</t>
    </r>
    <r>
      <rPr>
        <sz val="18"/>
        <rFont val="Times New Roman"/>
        <family val="1"/>
      </rPr>
      <t>]capere</t>
    </r>
    <phoneticPr fontId="3" type="noConversion"/>
  </si>
  <si>
    <r>
      <t xml:space="preserve">adj. </t>
    </r>
    <r>
      <rPr>
        <sz val="18"/>
        <rFont val="宋体"/>
        <family val="3"/>
        <charset val="134"/>
      </rPr>
      <t>白话的；通俗的；口语体的</t>
    </r>
    <phoneticPr fontId="3" type="noConversion"/>
  </si>
  <si>
    <r>
      <t>[</t>
    </r>
    <r>
      <rPr>
        <sz val="18"/>
        <rFont val="宋体"/>
        <family val="3"/>
        <charset val="134"/>
      </rPr>
      <t>拉</t>
    </r>
    <r>
      <rPr>
        <sz val="18"/>
        <rFont val="Times New Roman"/>
        <family val="1"/>
      </rPr>
      <t>]loquī(speak)</t>
    </r>
    <phoneticPr fontId="3" type="noConversion"/>
  </si>
  <si>
    <r>
      <t xml:space="preserve">n. </t>
    </r>
    <r>
      <rPr>
        <sz val="18"/>
        <rFont val="宋体"/>
        <family val="3"/>
        <charset val="134"/>
      </rPr>
      <t>腔；洞，凹处</t>
    </r>
    <phoneticPr fontId="3" type="noConversion"/>
  </si>
  <si>
    <t>cave</t>
    <phoneticPr fontId="3" type="noConversion"/>
  </si>
  <si>
    <r>
      <t xml:space="preserve">adj. </t>
    </r>
    <r>
      <rPr>
        <sz val="18"/>
        <rFont val="宋体"/>
        <family val="3"/>
        <charset val="134"/>
      </rPr>
      <t>圆胖的，丰满的</t>
    </r>
    <phoneticPr fontId="3" type="noConversion"/>
  </si>
  <si>
    <t>chub(the short, thick type of fish)</t>
    <phoneticPr fontId="3" type="noConversion"/>
  </si>
  <si>
    <r>
      <t xml:space="preserve">vt. </t>
    </r>
    <r>
      <rPr>
        <sz val="18"/>
        <rFont val="宋体"/>
        <family val="3"/>
        <charset val="134"/>
      </rPr>
      <t>使商业化；使商品化</t>
    </r>
    <phoneticPr fontId="3" type="noConversion"/>
  </si>
  <si>
    <t>commerce</t>
    <phoneticPr fontId="3" type="noConversion"/>
  </si>
  <si>
    <r>
      <t xml:space="preserve">adj. </t>
    </r>
    <r>
      <rPr>
        <sz val="18"/>
        <rFont val="宋体"/>
        <family val="3"/>
        <charset val="134"/>
      </rPr>
      <t>并行的；旁系的；附属的；</t>
    </r>
    <r>
      <rPr>
        <sz val="18"/>
        <rFont val="Times New Roman"/>
        <family val="1"/>
      </rPr>
      <t xml:space="preserve">n. </t>
    </r>
    <r>
      <rPr>
        <sz val="18"/>
        <rFont val="宋体"/>
        <family val="3"/>
        <charset val="134"/>
      </rPr>
      <t>抵押品；</t>
    </r>
    <r>
      <rPr>
        <sz val="18"/>
        <rFont val="Times New Roman"/>
        <family val="1"/>
      </rPr>
      <t>[</t>
    </r>
    <r>
      <rPr>
        <sz val="18"/>
        <rFont val="宋体"/>
        <family val="3"/>
        <charset val="134"/>
      </rPr>
      <t>法</t>
    </r>
    <r>
      <rPr>
        <sz val="18"/>
        <rFont val="Times New Roman"/>
        <family val="1"/>
      </rPr>
      <t xml:space="preserve">] </t>
    </r>
    <r>
      <rPr>
        <sz val="18"/>
        <rFont val="宋体"/>
        <family val="3"/>
        <charset val="134"/>
      </rPr>
      <t>担保品；旁系亲属</t>
    </r>
    <phoneticPr fontId="3" type="noConversion"/>
  </si>
  <si>
    <t>co+lateral</t>
    <phoneticPr fontId="3" type="noConversion"/>
  </si>
  <si>
    <r>
      <t xml:space="preserve">n. </t>
    </r>
    <r>
      <rPr>
        <sz val="18"/>
        <rFont val="宋体"/>
        <family val="3"/>
        <charset val="134"/>
      </rPr>
      <t>强心剂；强胃剂；</t>
    </r>
    <r>
      <rPr>
        <sz val="18"/>
        <rFont val="Times New Roman"/>
        <family val="1"/>
      </rPr>
      <t xml:space="preserve">adj. </t>
    </r>
    <r>
      <rPr>
        <sz val="18"/>
        <rFont val="宋体"/>
        <family val="3"/>
        <charset val="134"/>
      </rPr>
      <t>心脏的；心脏病的；（胃的）喷门</t>
    </r>
    <phoneticPr fontId="3" type="noConversion"/>
  </si>
  <si>
    <t>[PIE]kerd(heart)</t>
    <phoneticPr fontId="3" type="noConversion"/>
  </si>
  <si>
    <r>
      <t xml:space="preserve">n. </t>
    </r>
    <r>
      <rPr>
        <sz val="18"/>
        <rFont val="宋体"/>
        <family val="3"/>
        <charset val="134"/>
      </rPr>
      <t>大屠杀；残杀；大量绝灭</t>
    </r>
    <phoneticPr fontId="3" type="noConversion"/>
  </si>
  <si>
    <t>carnem(flesh)</t>
    <phoneticPr fontId="3" type="noConversion"/>
  </si>
  <si>
    <r>
      <t xml:space="preserve">adj. </t>
    </r>
    <r>
      <rPr>
        <sz val="18"/>
        <rFont val="宋体"/>
        <family val="3"/>
        <charset val="134"/>
      </rPr>
      <t>食肉的；肉食性的</t>
    </r>
    <phoneticPr fontId="3" type="noConversion"/>
  </si>
  <si>
    <r>
      <t xml:space="preserve">adj. </t>
    </r>
    <r>
      <rPr>
        <sz val="18"/>
        <rFont val="宋体"/>
        <family val="3"/>
        <charset val="134"/>
      </rPr>
      <t>喜剧的；滑稽的；有趣的；</t>
    </r>
    <r>
      <rPr>
        <sz val="18"/>
        <rFont val="Times New Roman"/>
        <family val="1"/>
      </rPr>
      <t xml:space="preserve">n. </t>
    </r>
    <r>
      <rPr>
        <sz val="18"/>
        <rFont val="宋体"/>
        <family val="3"/>
        <charset val="134"/>
      </rPr>
      <t>连环漫画；喜剧演员；滑稽人物</t>
    </r>
    <phoneticPr fontId="3" type="noConversion"/>
  </si>
  <si>
    <t>=comedy</t>
    <phoneticPr fontId="3" type="noConversion"/>
  </si>
  <si>
    <r>
      <t xml:space="preserve">n. </t>
    </r>
    <r>
      <rPr>
        <sz val="18"/>
        <rFont val="宋体"/>
        <family val="3"/>
        <charset val="134"/>
      </rPr>
      <t>殖民地；移民队</t>
    </r>
    <phoneticPr fontId="3" type="noConversion"/>
  </si>
  <si>
    <t>[PIE]qwol(move around)</t>
    <phoneticPr fontId="3" type="noConversion"/>
  </si>
  <si>
    <r>
      <t xml:space="preserve">n. </t>
    </r>
    <r>
      <rPr>
        <sz val="18"/>
        <rFont val="宋体"/>
        <family val="3"/>
        <charset val="134"/>
      </rPr>
      <t>（印度社会中的）种姓；（具有严格等级差别的）社会地位；（排他的）社会团体</t>
    </r>
    <phoneticPr fontId="3" type="noConversion"/>
  </si>
  <si>
    <r>
      <t>[</t>
    </r>
    <r>
      <rPr>
        <sz val="18"/>
        <rFont val="宋体"/>
        <family val="3"/>
        <charset val="134"/>
      </rPr>
      <t>拉</t>
    </r>
    <r>
      <rPr>
        <sz val="18"/>
        <rFont val="Times New Roman"/>
        <family val="1"/>
      </rPr>
      <t>]castus(pure)</t>
    </r>
    <phoneticPr fontId="3" type="noConversion"/>
  </si>
  <si>
    <t>co+incident</t>
    <phoneticPr fontId="3" type="noConversion"/>
  </si>
  <si>
    <r>
      <t xml:space="preserve">adj. </t>
    </r>
    <r>
      <rPr>
        <sz val="18"/>
        <rFont val="宋体"/>
        <family val="3"/>
        <charset val="134"/>
      </rPr>
      <t>一致的；符合的；同时发生的</t>
    </r>
    <phoneticPr fontId="3" type="noConversion"/>
  </si>
  <si>
    <r>
      <t xml:space="preserve">adj. </t>
    </r>
    <r>
      <rPr>
        <sz val="18"/>
        <rFont val="宋体"/>
        <family val="3"/>
        <charset val="134"/>
      </rPr>
      <t>好战的；好事的</t>
    </r>
    <phoneticPr fontId="3" type="noConversion"/>
  </si>
  <si>
    <t>combat</t>
    <phoneticPr fontId="3" type="noConversion"/>
  </si>
  <si>
    <t>comet</t>
    <phoneticPr fontId="3" type="noConversion"/>
  </si>
  <si>
    <r>
      <t xml:space="preserve">adj. </t>
    </r>
    <r>
      <rPr>
        <sz val="18"/>
        <rFont val="宋体"/>
        <family val="3"/>
        <charset val="134"/>
      </rPr>
      <t>彗星的；彗星似的</t>
    </r>
    <phoneticPr fontId="3" type="noConversion"/>
  </si>
  <si>
    <r>
      <t xml:space="preserve">vt. </t>
    </r>
    <r>
      <rPr>
        <sz val="18"/>
        <rFont val="宋体"/>
        <family val="3"/>
        <charset val="134"/>
      </rPr>
      <t>投合，迎合；满足需要；提供饮食及服务</t>
    </r>
    <phoneticPr fontId="3" type="noConversion"/>
  </si>
  <si>
    <t>acatour(buyer, purveyor)</t>
    <phoneticPr fontId="3" type="noConversion"/>
  </si>
  <si>
    <r>
      <t xml:space="preserve">adj. </t>
    </r>
    <r>
      <rPr>
        <sz val="18"/>
        <rFont val="宋体"/>
        <family val="3"/>
        <charset val="134"/>
      </rPr>
      <t>天上的，天空的；</t>
    </r>
    <r>
      <rPr>
        <sz val="18"/>
        <rFont val="Times New Roman"/>
        <family val="1"/>
      </rPr>
      <t xml:space="preserve">n. </t>
    </r>
    <r>
      <rPr>
        <sz val="18"/>
        <rFont val="宋体"/>
        <family val="3"/>
        <charset val="134"/>
      </rPr>
      <t>神仙，天堂里的居民</t>
    </r>
    <phoneticPr fontId="3" type="noConversion"/>
  </si>
  <si>
    <r>
      <t>[</t>
    </r>
    <r>
      <rPr>
        <sz val="18"/>
        <rFont val="宋体"/>
        <family val="3"/>
        <charset val="134"/>
      </rPr>
      <t>拉</t>
    </r>
    <r>
      <rPr>
        <sz val="18"/>
        <rFont val="Times New Roman"/>
        <family val="1"/>
      </rPr>
      <t>]caelum(heaven, sky)</t>
    </r>
    <phoneticPr fontId="3" type="noConversion"/>
  </si>
  <si>
    <r>
      <t xml:space="preserve">adj. </t>
    </r>
    <r>
      <rPr>
        <sz val="18"/>
        <rFont val="宋体"/>
        <family val="3"/>
        <charset val="134"/>
      </rPr>
      <t>依照情况的；详细的，详尽的；偶然的</t>
    </r>
    <phoneticPr fontId="3" type="noConversion"/>
  </si>
  <si>
    <t>circum(around)+stare(stand)</t>
    <phoneticPr fontId="3" type="noConversion"/>
  </si>
  <si>
    <r>
      <t xml:space="preserve">n. </t>
    </r>
    <r>
      <rPr>
        <sz val="18"/>
        <rFont val="宋体"/>
        <family val="3"/>
        <charset val="134"/>
      </rPr>
      <t>独身者；</t>
    </r>
    <r>
      <rPr>
        <sz val="18"/>
        <rFont val="Times New Roman"/>
        <family val="1"/>
      </rPr>
      <t xml:space="preserve">adj. </t>
    </r>
    <r>
      <rPr>
        <sz val="18"/>
        <rFont val="宋体"/>
        <family val="3"/>
        <charset val="134"/>
      </rPr>
      <t>独身的；禁欲的</t>
    </r>
    <phoneticPr fontId="3" type="noConversion"/>
  </si>
  <si>
    <r>
      <t>[</t>
    </r>
    <r>
      <rPr>
        <sz val="18"/>
        <rFont val="宋体"/>
        <family val="3"/>
        <charset val="134"/>
      </rPr>
      <t>拉</t>
    </r>
    <r>
      <rPr>
        <sz val="18"/>
        <rFont val="Times New Roman"/>
        <family val="1"/>
      </rPr>
      <t>]caelebs(unmarried)</t>
    </r>
    <phoneticPr fontId="3" type="noConversion"/>
  </si>
  <si>
    <r>
      <t xml:space="preserve">vt. </t>
    </r>
    <r>
      <rPr>
        <sz val="18"/>
        <rFont val="宋体"/>
        <family val="3"/>
        <charset val="134"/>
      </rPr>
      <t>引用；传讯；想起；表彰</t>
    </r>
    <phoneticPr fontId="3" type="noConversion"/>
  </si>
  <si>
    <r>
      <t>[</t>
    </r>
    <r>
      <rPr>
        <sz val="18"/>
        <rFont val="宋体"/>
        <family val="3"/>
        <charset val="134"/>
      </rPr>
      <t>希</t>
    </r>
    <r>
      <rPr>
        <sz val="18"/>
        <rFont val="Times New Roman"/>
        <family val="1"/>
      </rPr>
      <t>]kīnein(move)</t>
    </r>
    <phoneticPr fontId="3" type="noConversion"/>
  </si>
  <si>
    <r>
      <t xml:space="preserve">adj. </t>
    </r>
    <r>
      <rPr>
        <sz val="18"/>
        <rFont val="宋体"/>
        <family val="3"/>
        <charset val="134"/>
      </rPr>
      <t>警告的；劝诫的</t>
    </r>
    <phoneticPr fontId="3" type="noConversion"/>
  </si>
  <si>
    <t>caution</t>
    <phoneticPr fontId="3" type="noConversion"/>
  </si>
  <si>
    <r>
      <t xml:space="preserve">vi. </t>
    </r>
    <r>
      <rPr>
        <sz val="18"/>
        <rFont val="宋体"/>
        <family val="3"/>
        <charset val="134"/>
      </rPr>
      <t>攀登，爬上；</t>
    </r>
    <r>
      <rPr>
        <sz val="18"/>
        <rFont val="Times New Roman"/>
        <family val="1"/>
      </rPr>
      <t xml:space="preserve">vt. </t>
    </r>
    <r>
      <rPr>
        <sz val="18"/>
        <rFont val="宋体"/>
        <family val="3"/>
        <charset val="134"/>
      </rPr>
      <t>爬，攀登；</t>
    </r>
    <r>
      <rPr>
        <sz val="18"/>
        <rFont val="Times New Roman"/>
        <family val="1"/>
      </rPr>
      <t xml:space="preserve">n. </t>
    </r>
    <r>
      <rPr>
        <sz val="18"/>
        <rFont val="宋体"/>
        <family val="3"/>
        <charset val="134"/>
      </rPr>
      <t>攀登，爬上</t>
    </r>
    <phoneticPr fontId="3" type="noConversion"/>
  </si>
  <si>
    <t>climb</t>
    <phoneticPr fontId="3" type="noConversion"/>
  </si>
  <si>
    <r>
      <t xml:space="preserve">adj. </t>
    </r>
    <r>
      <rPr>
        <sz val="18"/>
        <rFont val="宋体"/>
        <family val="3"/>
        <charset val="134"/>
      </rPr>
      <t>氏族的；党派的；排他的</t>
    </r>
    <phoneticPr fontId="3" type="noConversion"/>
  </si>
  <si>
    <t>clan</t>
    <phoneticPr fontId="3" type="noConversion"/>
  </si>
  <si>
    <r>
      <t xml:space="preserve">n. </t>
    </r>
    <r>
      <rPr>
        <sz val="18"/>
        <rFont val="宋体"/>
        <family val="3"/>
        <charset val="134"/>
      </rPr>
      <t>条款；</t>
    </r>
    <r>
      <rPr>
        <sz val="18"/>
        <rFont val="Times New Roman"/>
        <family val="1"/>
      </rPr>
      <t>[</t>
    </r>
    <r>
      <rPr>
        <sz val="18"/>
        <rFont val="宋体"/>
        <family val="3"/>
        <charset val="134"/>
      </rPr>
      <t>计</t>
    </r>
    <r>
      <rPr>
        <sz val="18"/>
        <rFont val="Times New Roman"/>
        <family val="1"/>
      </rPr>
      <t xml:space="preserve">] </t>
    </r>
    <r>
      <rPr>
        <sz val="18"/>
        <rFont val="宋体"/>
        <family val="3"/>
        <charset val="134"/>
      </rPr>
      <t>子句</t>
    </r>
    <phoneticPr fontId="3" type="noConversion"/>
  </si>
  <si>
    <t>=close</t>
    <phoneticPr fontId="3" type="noConversion"/>
  </si>
  <si>
    <r>
      <t xml:space="preserve">adj. </t>
    </r>
    <r>
      <rPr>
        <sz val="18"/>
        <rFont val="宋体"/>
        <family val="3"/>
        <charset val="134"/>
      </rPr>
      <t>按年代顺序排列的；依时间前后排列而记载的</t>
    </r>
    <phoneticPr fontId="3" type="noConversion"/>
  </si>
  <si>
    <t>chronology</t>
    <phoneticPr fontId="3" type="noConversion"/>
  </si>
  <si>
    <r>
      <t>n. [</t>
    </r>
    <r>
      <rPr>
        <sz val="18"/>
        <rFont val="宋体"/>
        <family val="3"/>
        <charset val="134"/>
      </rPr>
      <t>无脊椎</t>
    </r>
    <r>
      <rPr>
        <sz val="18"/>
        <rFont val="Times New Roman"/>
        <family val="1"/>
      </rPr>
      <t xml:space="preserve">] </t>
    </r>
    <r>
      <rPr>
        <sz val="18"/>
        <rFont val="宋体"/>
        <family val="3"/>
        <charset val="134"/>
      </rPr>
      <t>毛虫；履带车；</t>
    </r>
    <r>
      <rPr>
        <sz val="18"/>
        <rFont val="Times New Roman"/>
        <family val="1"/>
      </rPr>
      <t xml:space="preserve">adj. </t>
    </r>
    <r>
      <rPr>
        <sz val="18"/>
        <rFont val="宋体"/>
        <family val="3"/>
        <charset val="134"/>
      </rPr>
      <t>有履带装置的</t>
    </r>
    <phoneticPr fontId="3" type="noConversion"/>
  </si>
  <si>
    <r>
      <t>[</t>
    </r>
    <r>
      <rPr>
        <sz val="18"/>
        <rFont val="宋体"/>
        <family val="3"/>
        <charset val="134"/>
      </rPr>
      <t>法</t>
    </r>
    <r>
      <rPr>
        <sz val="18"/>
        <rFont val="Times New Roman"/>
        <family val="1"/>
      </rPr>
      <t>]catta pilōsa(</t>
    </r>
    <r>
      <rPr>
        <sz val="18"/>
        <rFont val="宋体"/>
        <family val="3"/>
        <charset val="134"/>
      </rPr>
      <t>毛虫</t>
    </r>
    <r>
      <rPr>
        <sz val="18"/>
        <rFont val="Times New Roman"/>
        <family val="1"/>
      </rPr>
      <t>)</t>
    </r>
    <phoneticPr fontId="3" type="noConversion"/>
  </si>
  <si>
    <r>
      <t xml:space="preserve">adj. </t>
    </r>
    <r>
      <rPr>
        <sz val="18"/>
        <rFont val="宋体"/>
        <family val="3"/>
        <charset val="134"/>
      </rPr>
      <t>因果关系的；有原因的；</t>
    </r>
    <r>
      <rPr>
        <sz val="18"/>
        <rFont val="Times New Roman"/>
        <family val="1"/>
      </rPr>
      <t xml:space="preserve">n. </t>
    </r>
    <r>
      <rPr>
        <sz val="18"/>
        <rFont val="宋体"/>
        <family val="3"/>
        <charset val="134"/>
      </rPr>
      <t>表示原因的连词</t>
    </r>
    <phoneticPr fontId="3" type="noConversion"/>
  </si>
  <si>
    <t>cause</t>
    <phoneticPr fontId="3" type="noConversion"/>
  </si>
  <si>
    <r>
      <t xml:space="preserve">adj. </t>
    </r>
    <r>
      <rPr>
        <sz val="18"/>
        <rFont val="宋体"/>
        <family val="3"/>
        <charset val="134"/>
      </rPr>
      <t>患幽闭恐怖症的；导致幽闭恐怖症的；</t>
    </r>
    <r>
      <rPr>
        <sz val="18"/>
        <rFont val="Times New Roman"/>
        <family val="1"/>
      </rPr>
      <t xml:space="preserve">n. </t>
    </r>
    <r>
      <rPr>
        <sz val="18"/>
        <rFont val="宋体"/>
        <family val="3"/>
        <charset val="134"/>
      </rPr>
      <t>幽闭恐怖症患者</t>
    </r>
    <phoneticPr fontId="3" type="noConversion"/>
  </si>
  <si>
    <t>claudere(close)+phobia(fear)</t>
    <phoneticPr fontId="3" type="noConversion"/>
  </si>
  <si>
    <r>
      <t xml:space="preserve">adj. </t>
    </r>
    <r>
      <rPr>
        <sz val="18"/>
        <rFont val="宋体"/>
        <family val="3"/>
        <charset val="134"/>
      </rPr>
      <t>连贯的，一致的；明了的；清晰的；凝聚性的；互相偶合的；粘在一起的</t>
    </r>
    <phoneticPr fontId="3" type="noConversion"/>
  </si>
  <si>
    <t>com(together)+haerere(stick)</t>
    <phoneticPr fontId="3" type="noConversion"/>
  </si>
  <si>
    <r>
      <t xml:space="preserve">adj. </t>
    </r>
    <r>
      <rPr>
        <sz val="18"/>
        <rFont val="宋体"/>
        <family val="3"/>
        <charset val="134"/>
      </rPr>
      <t>陶瓷的；陶器的；制陶艺术的；</t>
    </r>
    <r>
      <rPr>
        <sz val="18"/>
        <rFont val="Times New Roman"/>
        <family val="1"/>
      </rPr>
      <t xml:space="preserve">n. </t>
    </r>
    <r>
      <rPr>
        <sz val="18"/>
        <rFont val="宋体"/>
        <family val="3"/>
        <charset val="134"/>
      </rPr>
      <t>陶瓷；陶瓷制品</t>
    </r>
    <phoneticPr fontId="3" type="noConversion"/>
  </si>
  <si>
    <r>
      <t>[</t>
    </r>
    <r>
      <rPr>
        <sz val="18"/>
        <rFont val="宋体"/>
        <family val="3"/>
        <charset val="134"/>
      </rPr>
      <t>希</t>
    </r>
    <r>
      <rPr>
        <sz val="18"/>
        <rFont val="Times New Roman"/>
        <family val="1"/>
      </rPr>
      <t>]keramos(potter's clay, pottery, tiles)</t>
    </r>
    <phoneticPr fontId="3" type="noConversion"/>
  </si>
  <si>
    <r>
      <t xml:space="preserve">adj. </t>
    </r>
    <r>
      <rPr>
        <sz val="18"/>
        <rFont val="宋体"/>
        <family val="3"/>
        <charset val="134"/>
      </rPr>
      <t>大脑的，脑的</t>
    </r>
    <phoneticPr fontId="3" type="noConversion"/>
  </si>
  <si>
    <t>[PIE]keres(top of the head)</t>
    <phoneticPr fontId="3" type="noConversion"/>
  </si>
  <si>
    <r>
      <t xml:space="preserve">vt. </t>
    </r>
    <r>
      <rPr>
        <sz val="18"/>
        <rFont val="宋体"/>
        <family val="3"/>
        <charset val="134"/>
      </rPr>
      <t>擦破；擦热；擦痛；激怒；</t>
    </r>
    <r>
      <rPr>
        <sz val="18"/>
        <rFont val="Times New Roman"/>
        <family val="1"/>
      </rPr>
      <t xml:space="preserve">vi. </t>
    </r>
    <r>
      <rPr>
        <sz val="18"/>
        <rFont val="宋体"/>
        <family val="3"/>
        <charset val="134"/>
      </rPr>
      <t>擦伤；磨擦；激怒；</t>
    </r>
    <r>
      <rPr>
        <sz val="18"/>
        <rFont val="Times New Roman"/>
        <family val="1"/>
      </rPr>
      <t xml:space="preserve">n. </t>
    </r>
    <r>
      <rPr>
        <sz val="18"/>
        <rFont val="宋体"/>
        <family val="3"/>
        <charset val="134"/>
      </rPr>
      <t>擦伤；气恼</t>
    </r>
    <phoneticPr fontId="3" type="noConversion"/>
  </si>
  <si>
    <t>calere(warm)+facere(make, do)</t>
    <phoneticPr fontId="3" type="noConversion"/>
  </si>
  <si>
    <r>
      <t xml:space="preserve">adj. </t>
    </r>
    <r>
      <rPr>
        <sz val="18"/>
        <rFont val="宋体"/>
        <family val="3"/>
        <charset val="134"/>
      </rPr>
      <t>舞台舞蹈的；舞蹈术的</t>
    </r>
    <phoneticPr fontId="3" type="noConversion"/>
  </si>
  <si>
    <r>
      <t>[</t>
    </r>
    <r>
      <rPr>
        <sz val="18"/>
        <rFont val="宋体"/>
        <family val="3"/>
        <charset val="134"/>
      </rPr>
      <t>希</t>
    </r>
    <r>
      <rPr>
        <sz val="18"/>
        <rFont val="Times New Roman"/>
        <family val="1"/>
      </rPr>
      <t>]khoreíā(dance)</t>
    </r>
    <phoneticPr fontId="3" type="noConversion"/>
  </si>
  <si>
    <r>
      <t xml:space="preserve">n. </t>
    </r>
    <r>
      <rPr>
        <sz val="18"/>
        <rFont val="宋体"/>
        <family val="3"/>
        <charset val="134"/>
      </rPr>
      <t>高潮；顶点；层进法；极点</t>
    </r>
    <phoneticPr fontId="3" type="noConversion"/>
  </si>
  <si>
    <t>[PIE]kli(lean)</t>
    <phoneticPr fontId="3" type="noConversion"/>
  </si>
  <si>
    <r>
      <t xml:space="preserve">adj. </t>
    </r>
    <r>
      <rPr>
        <sz val="18"/>
        <rFont val="宋体"/>
        <family val="3"/>
        <charset val="134"/>
      </rPr>
      <t>临床的；诊所的</t>
    </r>
    <phoneticPr fontId="3" type="noConversion"/>
  </si>
  <si>
    <t>clinic</t>
    <phoneticPr fontId="3" type="noConversion"/>
  </si>
  <si>
    <r>
      <t xml:space="preserve">n. </t>
    </r>
    <r>
      <rPr>
        <sz val="18"/>
        <rFont val="宋体"/>
        <family val="3"/>
        <charset val="134"/>
      </rPr>
      <t>强制；强迫；高压政治；威压</t>
    </r>
    <phoneticPr fontId="3" type="noConversion"/>
  </si>
  <si>
    <t>coerce</t>
    <phoneticPr fontId="3" type="noConversion"/>
  </si>
  <si>
    <t>chance</t>
    <phoneticPr fontId="3" type="noConversion"/>
  </si>
  <si>
    <r>
      <t xml:space="preserve">adj. </t>
    </r>
    <r>
      <rPr>
        <sz val="18"/>
        <rFont val="宋体"/>
        <family val="3"/>
        <charset val="134"/>
      </rPr>
      <t>不确实的；偶然发生的；不安的</t>
    </r>
    <phoneticPr fontId="3" type="noConversion"/>
  </si>
  <si>
    <r>
      <t xml:space="preserve">n. </t>
    </r>
    <r>
      <rPr>
        <sz val="18"/>
        <rFont val="宋体"/>
        <family val="3"/>
        <charset val="134"/>
      </rPr>
      <t>杂乱，混乱；</t>
    </r>
    <r>
      <rPr>
        <sz val="18"/>
        <rFont val="Times New Roman"/>
        <family val="1"/>
      </rPr>
      <t xml:space="preserve">vt. </t>
    </r>
    <r>
      <rPr>
        <sz val="18"/>
        <rFont val="宋体"/>
        <family val="3"/>
        <charset val="134"/>
      </rPr>
      <t>使凌乱；胡乱地填满</t>
    </r>
    <phoneticPr fontId="3" type="noConversion"/>
  </si>
  <si>
    <t>clot</t>
    <phoneticPr fontId="3" type="noConversion"/>
  </si>
  <si>
    <r>
      <t xml:space="preserve">n. </t>
    </r>
    <r>
      <rPr>
        <sz val="18"/>
        <rFont val="宋体"/>
        <family val="3"/>
        <charset val="134"/>
      </rPr>
      <t>壁橱；议事室，密室；小房间；</t>
    </r>
    <r>
      <rPr>
        <sz val="18"/>
        <rFont val="Times New Roman"/>
        <family val="1"/>
      </rPr>
      <t xml:space="preserve">adj. </t>
    </r>
    <r>
      <rPr>
        <sz val="18"/>
        <rFont val="宋体"/>
        <family val="3"/>
        <charset val="134"/>
      </rPr>
      <t>秘密的，私下的；空谈的；</t>
    </r>
    <r>
      <rPr>
        <sz val="18"/>
        <rFont val="Times New Roman"/>
        <family val="1"/>
      </rPr>
      <t xml:space="preserve">vt. </t>
    </r>
    <r>
      <rPr>
        <sz val="18"/>
        <rFont val="宋体"/>
        <family val="3"/>
        <charset val="134"/>
      </rPr>
      <t>把</t>
    </r>
    <r>
      <rPr>
        <sz val="18"/>
        <rFont val="Times New Roman"/>
        <family val="1"/>
      </rPr>
      <t>…</t>
    </r>
    <r>
      <rPr>
        <sz val="18"/>
        <rFont val="宋体"/>
        <family val="3"/>
        <charset val="134"/>
      </rPr>
      <t>关在私室中</t>
    </r>
    <phoneticPr fontId="3" type="noConversion"/>
  </si>
  <si>
    <t>close</t>
    <phoneticPr fontId="3" type="noConversion"/>
  </si>
  <si>
    <t>commodity</t>
    <phoneticPr fontId="3" type="noConversion"/>
  </si>
  <si>
    <t>communal</t>
    <phoneticPr fontId="3" type="noConversion"/>
  </si>
  <si>
    <t>compassion</t>
    <phoneticPr fontId="3" type="noConversion"/>
  </si>
  <si>
    <r>
      <t xml:space="preserve">adj. </t>
    </r>
    <r>
      <rPr>
        <sz val="18"/>
        <rFont val="宋体"/>
        <family val="3"/>
        <charset val="134"/>
      </rPr>
      <t>波涛汹涌的；波浪起伏的；不断改变方向的</t>
    </r>
    <phoneticPr fontId="3" type="noConversion"/>
  </si>
  <si>
    <t>chop</t>
    <phoneticPr fontId="3" type="noConversion"/>
  </si>
  <si>
    <r>
      <t xml:space="preserve">n. </t>
    </r>
    <r>
      <rPr>
        <sz val="18"/>
        <rFont val="宋体"/>
        <family val="3"/>
        <charset val="134"/>
      </rPr>
      <t>船夫曲；水手的劳动号子</t>
    </r>
    <phoneticPr fontId="3" type="noConversion"/>
  </si>
  <si>
    <t>chant</t>
    <phoneticPr fontId="3" type="noConversion"/>
  </si>
  <si>
    <r>
      <t xml:space="preserve">n. </t>
    </r>
    <r>
      <rPr>
        <sz val="18"/>
        <rFont val="宋体"/>
        <family val="3"/>
        <charset val="134"/>
      </rPr>
      <t>商品，货物；日用品</t>
    </r>
    <phoneticPr fontId="3" type="noConversion"/>
  </si>
  <si>
    <t>commode</t>
    <phoneticPr fontId="3" type="noConversion"/>
  </si>
  <si>
    <r>
      <t xml:space="preserve">n. </t>
    </r>
    <r>
      <rPr>
        <sz val="18"/>
        <rFont val="宋体"/>
        <family val="3"/>
        <charset val="134"/>
      </rPr>
      <t>惩罚</t>
    </r>
    <phoneticPr fontId="3" type="noConversion"/>
  </si>
  <si>
    <t>=chaste, castus(pure)</t>
    <phoneticPr fontId="3" type="noConversion"/>
  </si>
  <si>
    <r>
      <t xml:space="preserve">adj. </t>
    </r>
    <r>
      <rPr>
        <sz val="18"/>
        <rFont val="宋体"/>
        <family val="3"/>
        <charset val="134"/>
      </rPr>
      <t>慈善事业的；慷慨的，仁慈的；宽恕的</t>
    </r>
    <phoneticPr fontId="3" type="noConversion"/>
  </si>
  <si>
    <t>charity</t>
    <phoneticPr fontId="3" type="noConversion"/>
  </si>
  <si>
    <r>
      <t xml:space="preserve">vt. </t>
    </r>
    <r>
      <rPr>
        <sz val="18"/>
        <rFont val="宋体"/>
        <family val="3"/>
        <charset val="134"/>
      </rPr>
      <t>特许；包租；发给特许执照；</t>
    </r>
    <r>
      <rPr>
        <sz val="18"/>
        <rFont val="Times New Roman"/>
        <family val="1"/>
      </rPr>
      <t xml:space="preserve">n. </t>
    </r>
    <r>
      <rPr>
        <sz val="18"/>
        <rFont val="宋体"/>
        <family val="3"/>
        <charset val="134"/>
      </rPr>
      <t>宪章；执照；特许状</t>
    </r>
    <phoneticPr fontId="3" type="noConversion"/>
  </si>
  <si>
    <r>
      <t>[</t>
    </r>
    <r>
      <rPr>
        <sz val="18"/>
        <rFont val="宋体"/>
        <family val="3"/>
        <charset val="134"/>
      </rPr>
      <t>拉</t>
    </r>
    <r>
      <rPr>
        <sz val="18"/>
        <rFont val="Times New Roman"/>
        <family val="1"/>
      </rPr>
      <t>]chartula/cartula(little paper)</t>
    </r>
    <phoneticPr fontId="3" type="noConversion"/>
  </si>
  <si>
    <r>
      <t xml:space="preserve">adj. </t>
    </r>
    <r>
      <rPr>
        <sz val="18"/>
        <rFont val="宋体"/>
        <family val="3"/>
        <charset val="134"/>
      </rPr>
      <t>公共的；公社的</t>
    </r>
    <phoneticPr fontId="3" type="noConversion"/>
  </si>
  <si>
    <t>common</t>
    <phoneticPr fontId="3" type="noConversion"/>
  </si>
  <si>
    <r>
      <t xml:space="preserve">n. </t>
    </r>
    <r>
      <rPr>
        <sz val="18"/>
        <rFont val="宋体"/>
        <family val="3"/>
        <charset val="134"/>
      </rPr>
      <t>同情；怜悯</t>
    </r>
    <phoneticPr fontId="3" type="noConversion"/>
  </si>
  <si>
    <t>com+passion</t>
    <phoneticPr fontId="3" type="noConversion"/>
  </si>
  <si>
    <t>compensatory</t>
    <phoneticPr fontId="3" type="noConversion"/>
  </si>
  <si>
    <r>
      <t xml:space="preserve">adj. </t>
    </r>
    <r>
      <rPr>
        <sz val="18"/>
        <rFont val="宋体"/>
        <family val="3"/>
        <charset val="134"/>
      </rPr>
      <t>补偿的，赔偿的</t>
    </r>
    <phoneticPr fontId="3" type="noConversion"/>
  </si>
  <si>
    <t>=ponder</t>
    <phoneticPr fontId="3" type="noConversion"/>
  </si>
  <si>
    <t>concoction</t>
    <phoneticPr fontId="3" type="noConversion"/>
  </si>
  <si>
    <t>concomitant</t>
    <phoneticPr fontId="3" type="noConversion"/>
  </si>
  <si>
    <t>concurrent</t>
    <phoneticPr fontId="3" type="noConversion"/>
  </si>
  <si>
    <t>cone</t>
    <phoneticPr fontId="3" type="noConversion"/>
  </si>
  <si>
    <t>confide</t>
    <phoneticPr fontId="3" type="noConversion"/>
  </si>
  <si>
    <t>configuration</t>
    <phoneticPr fontId="3" type="noConversion"/>
  </si>
  <si>
    <t>congenital</t>
    <phoneticPr fontId="3" type="noConversion"/>
  </si>
  <si>
    <t>conifer</t>
    <phoneticPr fontId="3" type="noConversion"/>
  </si>
  <si>
    <t>connotation</t>
    <phoneticPr fontId="3" type="noConversion"/>
  </si>
  <si>
    <t>consecutive</t>
    <phoneticPr fontId="3" type="noConversion"/>
  </si>
  <si>
    <t>consort</t>
    <phoneticPr fontId="3" type="noConversion"/>
  </si>
  <si>
    <t>construe</t>
    <phoneticPr fontId="3" type="noConversion"/>
  </si>
  <si>
    <t>consult</t>
    <phoneticPr fontId="3" type="noConversion"/>
  </si>
  <si>
    <t>containment</t>
    <phoneticPr fontId="3" type="noConversion"/>
  </si>
  <si>
    <t>contemporary</t>
    <phoneticPr fontId="3" type="noConversion"/>
  </si>
  <si>
    <t>contention</t>
    <phoneticPr fontId="3" type="noConversion"/>
  </si>
  <si>
    <t>continentious</t>
    <phoneticPr fontId="3" type="noConversion"/>
  </si>
  <si>
    <t>controversial</t>
    <phoneticPr fontId="3" type="noConversion"/>
  </si>
  <si>
    <t>converse</t>
    <phoneticPr fontId="3" type="noConversion"/>
  </si>
  <si>
    <t>convince</t>
    <phoneticPr fontId="3" type="noConversion"/>
  </si>
  <si>
    <t>convivial</t>
    <phoneticPr fontId="3" type="noConversion"/>
  </si>
  <si>
    <t>coordinate</t>
    <phoneticPr fontId="3" type="noConversion"/>
  </si>
  <si>
    <t>cosmic</t>
    <phoneticPr fontId="3" type="noConversion"/>
  </si>
  <si>
    <t>coterie</t>
    <phoneticPr fontId="3" type="noConversion"/>
  </si>
  <si>
    <t>counterbalance</t>
    <phoneticPr fontId="3" type="noConversion"/>
  </si>
  <si>
    <t>cozy</t>
    <phoneticPr fontId="3" type="noConversion"/>
  </si>
  <si>
    <t>crater</t>
    <phoneticPr fontId="3" type="noConversion"/>
  </si>
  <si>
    <t>crawl</t>
    <phoneticPr fontId="3" type="noConversion"/>
  </si>
  <si>
    <t>creed</t>
    <phoneticPr fontId="3" type="noConversion"/>
  </si>
  <si>
    <t>crimson</t>
    <phoneticPr fontId="3" type="noConversion"/>
  </si>
  <si>
    <t>cringe</t>
    <phoneticPr fontId="3" type="noConversion"/>
  </si>
  <si>
    <t>criss-cross</t>
    <phoneticPr fontId="3" type="noConversion"/>
  </si>
  <si>
    <t>criterion</t>
    <phoneticPr fontId="3" type="noConversion"/>
  </si>
  <si>
    <t>critique</t>
    <phoneticPr fontId="3" type="noConversion"/>
  </si>
  <si>
    <t>crossfire</t>
    <phoneticPr fontId="3" type="noConversion"/>
  </si>
  <si>
    <t>crystalline</t>
    <phoneticPr fontId="3" type="noConversion"/>
  </si>
  <si>
    <t>culinary</t>
    <phoneticPr fontId="3" type="noConversion"/>
  </si>
  <si>
    <t>culminate</t>
    <phoneticPr fontId="3" type="noConversion"/>
  </si>
  <si>
    <t>cyclical</t>
    <phoneticPr fontId="3" type="noConversion"/>
  </si>
  <si>
    <r>
      <t xml:space="preserve">n. </t>
    </r>
    <r>
      <rPr>
        <sz val="18"/>
        <rFont val="宋体"/>
        <family val="3"/>
        <charset val="134"/>
      </rPr>
      <t>混合；调合；调合物</t>
    </r>
    <phoneticPr fontId="3" type="noConversion"/>
  </si>
  <si>
    <t xml:space="preserve"> com+coquere(cook)</t>
    <phoneticPr fontId="3" type="noConversion"/>
  </si>
  <si>
    <r>
      <t xml:space="preserve">adj. </t>
    </r>
    <r>
      <rPr>
        <sz val="18"/>
        <rFont val="宋体"/>
        <family val="3"/>
        <charset val="134"/>
      </rPr>
      <t>相伴的；共存的；附随的；</t>
    </r>
    <r>
      <rPr>
        <sz val="18"/>
        <rFont val="Times New Roman"/>
        <family val="1"/>
      </rPr>
      <t xml:space="preserve">n. </t>
    </r>
    <r>
      <rPr>
        <sz val="18"/>
        <rFont val="宋体"/>
        <family val="3"/>
        <charset val="134"/>
      </rPr>
      <t>伴随物</t>
    </r>
    <phoneticPr fontId="3" type="noConversion"/>
  </si>
  <si>
    <t>con+come</t>
    <phoneticPr fontId="3" type="noConversion"/>
  </si>
  <si>
    <t>con+current</t>
    <phoneticPr fontId="3" type="noConversion"/>
  </si>
  <si>
    <r>
      <t xml:space="preserve">adj. </t>
    </r>
    <r>
      <rPr>
        <sz val="18"/>
        <rFont val="宋体"/>
        <family val="3"/>
        <charset val="134"/>
      </rPr>
      <t>并发的；一致的；同时发生的；</t>
    </r>
    <r>
      <rPr>
        <sz val="18"/>
        <rFont val="Times New Roman"/>
        <family val="1"/>
      </rPr>
      <t>n. [</t>
    </r>
    <r>
      <rPr>
        <sz val="18"/>
        <rFont val="宋体"/>
        <family val="3"/>
        <charset val="134"/>
      </rPr>
      <t>数</t>
    </r>
    <r>
      <rPr>
        <sz val="18"/>
        <rFont val="Times New Roman"/>
        <family val="1"/>
      </rPr>
      <t xml:space="preserve">] </t>
    </r>
    <r>
      <rPr>
        <sz val="18"/>
        <rFont val="宋体"/>
        <family val="3"/>
        <charset val="134"/>
      </rPr>
      <t>共点；同时发生的事件</t>
    </r>
    <phoneticPr fontId="3" type="noConversion"/>
  </si>
  <si>
    <r>
      <t xml:space="preserve">n. </t>
    </r>
    <r>
      <rPr>
        <sz val="18"/>
        <rFont val="宋体"/>
        <family val="3"/>
        <charset val="134"/>
      </rPr>
      <t>圈内人；小集团；伙伴；同志</t>
    </r>
    <phoneticPr fontId="3" type="noConversion"/>
  </si>
  <si>
    <t>cote(hut)</t>
    <phoneticPr fontId="3" type="noConversion"/>
  </si>
  <si>
    <r>
      <t xml:space="preserve">adj. </t>
    </r>
    <r>
      <rPr>
        <sz val="18"/>
        <rFont val="宋体"/>
        <family val="3"/>
        <charset val="134"/>
      </rPr>
      <t>宇宙的</t>
    </r>
    <phoneticPr fontId="3" type="noConversion"/>
  </si>
  <si>
    <t>cosmos</t>
    <phoneticPr fontId="3" type="noConversion"/>
  </si>
  <si>
    <r>
      <t xml:space="preserve">vt. </t>
    </r>
    <r>
      <rPr>
        <sz val="18"/>
        <rFont val="宋体"/>
        <family val="3"/>
        <charset val="134"/>
      </rPr>
      <t>查阅；商量；向</t>
    </r>
    <r>
      <rPr>
        <sz val="18"/>
        <rFont val="Times New Roman"/>
        <family val="1"/>
      </rPr>
      <t>…</t>
    </r>
    <r>
      <rPr>
        <sz val="18"/>
        <rFont val="宋体"/>
        <family val="3"/>
        <charset val="134"/>
      </rPr>
      <t>请教；</t>
    </r>
    <r>
      <rPr>
        <sz val="18"/>
        <rFont val="Times New Roman"/>
        <family val="1"/>
      </rPr>
      <t xml:space="preserve">vi. </t>
    </r>
    <r>
      <rPr>
        <sz val="18"/>
        <rFont val="宋体"/>
        <family val="3"/>
        <charset val="134"/>
      </rPr>
      <t>请教；商议；当顾问</t>
    </r>
    <phoneticPr fontId="3" type="noConversion"/>
  </si>
  <si>
    <t>=counsel</t>
    <phoneticPr fontId="3" type="noConversion"/>
  </si>
  <si>
    <r>
      <t xml:space="preserve">n. </t>
    </r>
    <r>
      <rPr>
        <sz val="18"/>
        <rFont val="宋体"/>
        <family val="3"/>
        <charset val="134"/>
      </rPr>
      <t>圆锥体，圆锥形；</t>
    </r>
    <r>
      <rPr>
        <sz val="18"/>
        <rFont val="Times New Roman"/>
        <family val="1"/>
      </rPr>
      <t>[</t>
    </r>
    <r>
      <rPr>
        <sz val="18"/>
        <rFont val="宋体"/>
        <family val="3"/>
        <charset val="134"/>
      </rPr>
      <t>植</t>
    </r>
    <r>
      <rPr>
        <sz val="18"/>
        <rFont val="Times New Roman"/>
        <family val="1"/>
      </rPr>
      <t xml:space="preserve">] </t>
    </r>
    <r>
      <rPr>
        <sz val="18"/>
        <rFont val="宋体"/>
        <family val="3"/>
        <charset val="134"/>
      </rPr>
      <t>球果；</t>
    </r>
    <r>
      <rPr>
        <sz val="18"/>
        <rFont val="Times New Roman"/>
        <family val="1"/>
      </rPr>
      <t xml:space="preserve">vt. </t>
    </r>
    <r>
      <rPr>
        <sz val="18"/>
        <rFont val="宋体"/>
        <family val="3"/>
        <charset val="134"/>
      </rPr>
      <t>使成锥形</t>
    </r>
    <phoneticPr fontId="3" type="noConversion"/>
  </si>
  <si>
    <r>
      <t>[</t>
    </r>
    <r>
      <rPr>
        <sz val="18"/>
        <rFont val="宋体"/>
        <family val="3"/>
        <charset val="134"/>
      </rPr>
      <t>拉</t>
    </r>
    <r>
      <rPr>
        <sz val="18"/>
        <rFont val="Times New Roman"/>
        <family val="1"/>
      </rPr>
      <t>]cōnifer(cone-bearing)</t>
    </r>
    <phoneticPr fontId="3" type="noConversion"/>
  </si>
  <si>
    <r>
      <t xml:space="preserve">vi. </t>
    </r>
    <r>
      <rPr>
        <sz val="18"/>
        <rFont val="宋体"/>
        <family val="3"/>
        <charset val="134"/>
      </rPr>
      <t>到绝顶；达到高潮；达到顶点；</t>
    </r>
    <r>
      <rPr>
        <sz val="18"/>
        <rFont val="Times New Roman"/>
        <family val="1"/>
      </rPr>
      <t xml:space="preserve">vt. </t>
    </r>
    <r>
      <rPr>
        <sz val="18"/>
        <rFont val="宋体"/>
        <family val="3"/>
        <charset val="134"/>
      </rPr>
      <t>使结束；使达到高潮</t>
    </r>
    <phoneticPr fontId="3" type="noConversion"/>
  </si>
  <si>
    <t>columen</t>
    <phoneticPr fontId="3" type="noConversion"/>
  </si>
  <si>
    <r>
      <t xml:space="preserve">adj. </t>
    </r>
    <r>
      <rPr>
        <sz val="18"/>
        <rFont val="宋体"/>
        <family val="3"/>
        <charset val="134"/>
      </rPr>
      <t>热忱的，诚恳的；兴奋的；</t>
    </r>
    <r>
      <rPr>
        <sz val="18"/>
        <rFont val="Times New Roman"/>
        <family val="1"/>
      </rPr>
      <t xml:space="preserve">n. </t>
    </r>
    <r>
      <rPr>
        <sz val="18"/>
        <rFont val="宋体"/>
        <family val="3"/>
        <charset val="134"/>
      </rPr>
      <t>补品；兴奋剂；甜香酒，甘露酒</t>
    </r>
    <phoneticPr fontId="3" type="noConversion"/>
  </si>
  <si>
    <t>cordial</t>
    <phoneticPr fontId="3" type="noConversion"/>
  </si>
  <si>
    <t>[PIE]kerd(heart)</t>
    <phoneticPr fontId="3" type="noConversion"/>
  </si>
  <si>
    <r>
      <t xml:space="preserve">vt. </t>
    </r>
    <r>
      <rPr>
        <sz val="18"/>
        <rFont val="宋体"/>
        <family val="3"/>
        <charset val="134"/>
      </rPr>
      <t>说服；使确信，使信服</t>
    </r>
    <phoneticPr fontId="3" type="noConversion"/>
  </si>
  <si>
    <t>=victory</t>
    <phoneticPr fontId="3" type="noConversion"/>
  </si>
  <si>
    <r>
      <t xml:space="preserve">n. </t>
    </r>
    <r>
      <rPr>
        <sz val="18"/>
        <rFont val="宋体"/>
        <family val="3"/>
        <charset val="134"/>
      </rPr>
      <t>包含；牵制；容量；密闭度；抑制</t>
    </r>
    <r>
      <rPr>
        <sz val="18"/>
        <rFont val="Times New Roman"/>
        <family val="1"/>
      </rPr>
      <t xml:space="preserve">, </t>
    </r>
    <r>
      <rPr>
        <sz val="18"/>
        <rFont val="宋体"/>
        <family val="3"/>
        <charset val="134"/>
      </rPr>
      <t>牵制；牵制</t>
    </r>
    <r>
      <rPr>
        <sz val="18"/>
        <rFont val="Times New Roman"/>
        <family val="1"/>
      </rPr>
      <t xml:space="preserve"> [</t>
    </r>
    <r>
      <rPr>
        <sz val="18"/>
        <rFont val="宋体"/>
        <family val="3"/>
        <charset val="134"/>
      </rPr>
      <t>遏制</t>
    </r>
    <r>
      <rPr>
        <sz val="18"/>
        <rFont val="Times New Roman"/>
        <family val="1"/>
      </rPr>
      <t xml:space="preserve">] </t>
    </r>
    <r>
      <rPr>
        <sz val="18"/>
        <rFont val="宋体"/>
        <family val="3"/>
        <charset val="134"/>
      </rPr>
      <t>政策</t>
    </r>
    <phoneticPr fontId="3" type="noConversion"/>
  </si>
  <si>
    <t>contain</t>
    <phoneticPr fontId="3" type="noConversion"/>
  </si>
  <si>
    <t>ample</t>
    <phoneticPr fontId="3" type="noConversion"/>
  </si>
  <si>
    <r>
      <t xml:space="preserve">adj. </t>
    </r>
    <r>
      <rPr>
        <sz val="18"/>
        <rFont val="宋体"/>
        <family val="3"/>
        <charset val="134"/>
      </rPr>
      <t>丰富的；足够的；宽敞的</t>
    </r>
    <phoneticPr fontId="3" type="noConversion"/>
  </si>
  <si>
    <r>
      <t>[</t>
    </r>
    <r>
      <rPr>
        <sz val="18"/>
        <rFont val="宋体"/>
        <family val="3"/>
        <charset val="134"/>
      </rPr>
      <t>拉</t>
    </r>
    <r>
      <rPr>
        <sz val="18"/>
        <rFont val="Times New Roman"/>
        <family val="1"/>
      </rPr>
      <t>]amplus(large, spacious)</t>
    </r>
    <phoneticPr fontId="3" type="noConversion"/>
  </si>
  <si>
    <r>
      <t xml:space="preserve">adj. </t>
    </r>
    <r>
      <rPr>
        <sz val="18"/>
        <rFont val="宋体"/>
        <family val="3"/>
        <charset val="134"/>
      </rPr>
      <t>周期的，循环的</t>
    </r>
    <phoneticPr fontId="3" type="noConversion"/>
  </si>
  <si>
    <t>cycle</t>
    <phoneticPr fontId="3" type="noConversion"/>
  </si>
  <si>
    <t>foe</t>
    <phoneticPr fontId="1" type="noConversion"/>
  </si>
  <si>
    <r>
      <t xml:space="preserve">n. </t>
    </r>
    <r>
      <rPr>
        <sz val="18"/>
        <rFont val="宋体"/>
        <family val="3"/>
        <charset val="134"/>
      </rPr>
      <t>敌人；反对者；危害物</t>
    </r>
    <phoneticPr fontId="1" type="noConversion"/>
  </si>
  <si>
    <t>feud</t>
  </si>
  <si>
    <t>=feud</t>
    <phoneticPr fontId="1" type="noConversion"/>
  </si>
  <si>
    <r>
      <t xml:space="preserve">n. </t>
    </r>
    <r>
      <rPr>
        <sz val="18"/>
        <rFont val="宋体"/>
        <family val="3"/>
        <charset val="134"/>
      </rPr>
      <t>不和；争执；封地；</t>
    </r>
    <r>
      <rPr>
        <sz val="18"/>
        <rFont val="Times New Roman"/>
        <family val="1"/>
      </rPr>
      <t xml:space="preserve">vi. </t>
    </r>
    <r>
      <rPr>
        <sz val="18"/>
        <rFont val="宋体"/>
        <family val="3"/>
        <charset val="134"/>
      </rPr>
      <t>长期不和；长期争斗</t>
    </r>
    <phoneticPr fontId="1" type="noConversion"/>
  </si>
  <si>
    <t>faikh(hostility)</t>
    <phoneticPr fontId="1" type="noConversion"/>
  </si>
  <si>
    <t>diaphanous</t>
    <phoneticPr fontId="1" type="noConversion"/>
  </si>
  <si>
    <r>
      <t xml:space="preserve">adj. </t>
    </r>
    <r>
      <rPr>
        <sz val="18"/>
        <rFont val="宋体"/>
        <family val="3"/>
        <charset val="134"/>
      </rPr>
      <t>透明的；精致的；模糊的</t>
    </r>
    <phoneticPr fontId="1" type="noConversion"/>
  </si>
  <si>
    <t>dia(through)+phaínein(show)</t>
    <phoneticPr fontId="1" type="noConversion"/>
  </si>
  <si>
    <r>
      <t xml:space="preserve">vt. </t>
    </r>
    <r>
      <rPr>
        <sz val="18"/>
        <rFont val="宋体"/>
        <family val="3"/>
        <charset val="134"/>
      </rPr>
      <t>影响；统治；使摇动；</t>
    </r>
    <r>
      <rPr>
        <sz val="18"/>
        <rFont val="Times New Roman"/>
        <family val="1"/>
      </rPr>
      <t xml:space="preserve">vi. </t>
    </r>
    <r>
      <rPr>
        <sz val="18"/>
        <rFont val="宋体"/>
        <family val="3"/>
        <charset val="134"/>
      </rPr>
      <t>影响；摇摆；</t>
    </r>
    <r>
      <rPr>
        <sz val="18"/>
        <rFont val="Times New Roman"/>
        <family val="1"/>
      </rPr>
      <t xml:space="preserve">n. </t>
    </r>
    <r>
      <rPr>
        <sz val="18"/>
        <rFont val="宋体"/>
        <family val="3"/>
        <charset val="134"/>
      </rPr>
      <t>影响；摇摆；统治</t>
    </r>
    <phoneticPr fontId="1" type="noConversion"/>
  </si>
  <si>
    <r>
      <t>[</t>
    </r>
    <r>
      <rPr>
        <sz val="18"/>
        <rFont val="宋体"/>
        <family val="3"/>
        <charset val="134"/>
      </rPr>
      <t>挪</t>
    </r>
    <r>
      <rPr>
        <sz val="18"/>
        <rFont val="Times New Roman"/>
        <family val="1"/>
      </rPr>
      <t>]sveigja(bend, swing, give way)</t>
    </r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</si>
</sst>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1" x14ac:knownFonts="1">
    <font>
      <sz val="12"/>
      <name val="宋体"/>
      <charset val="134"/>
    </font>
    <font>
      <sz val="9"/>
      <name val="宋体"/>
      <family val="3"/>
      <charset val="134"/>
    </font>
    <font>
      <sz val="12"/>
      <name val="宋体"/>
      <family val="3"/>
      <charset val="134"/>
    </font>
    <font>
      <sz val="9"/>
      <name val="宋体"/>
      <family val="3"/>
      <charset val="134"/>
    </font>
    <font>
      <sz val="18"/>
      <name val="Times New Roman"/>
      <family val="1"/>
    </font>
    <font>
      <sz val="18"/>
      <name val="宋体"/>
      <family val="3"/>
      <charset val="134"/>
    </font>
    <font>
      <sz val="18"/>
      <name val="Century"/>
      <family val="1"/>
    </font>
    <font>
      <sz val="18"/>
      <color indexed="8"/>
      <name val="Century"/>
      <family val="1"/>
    </font>
    <font>
      <sz val="12"/>
      <color rgb="FFFF0000"/>
      <name val="宋体"/>
      <family val="3"/>
      <charset val="134"/>
    </font>
    <font>
      <sz val="18"/>
      <color rgb="FFFF0000"/>
      <name val="Century"/>
      <family val="1"/>
    </font>
    <font>
      <sz val="12"/>
      <color rgb="FFFF3300"/>
      <name val="宋体"/>
      <family val="3"/>
      <charset val="134"/>
    </font>
    <font>
      <sz val="18"/>
      <name val="Times New Roman"/>
      <family val="3"/>
      <charset val="134"/>
    </font>
    <font>
      <sz val="18"/>
      <color theme="1"/>
      <name val="Century"/>
      <family val="1"/>
    </font>
    <font>
      <sz val="18"/>
      <color theme="1"/>
      <name val="Times New Roman"/>
      <family val="1"/>
    </font>
    <font>
      <u/>
      <sz val="12"/>
      <color theme="10"/>
      <name val="宋体"/>
      <family val="3"/>
      <charset val="134"/>
    </font>
    <font>
      <sz val="16"/>
      <name val="宋体"/>
      <family val="3"/>
      <charset val="134"/>
    </font>
    <font>
      <sz val="16"/>
      <name val="Times New Roman"/>
      <family val="1"/>
    </font>
    <font>
      <u/>
      <sz val="16"/>
      <color theme="10"/>
      <name val="Times New Roman"/>
      <family val="1"/>
    </font>
    <font>
      <sz val="12"/>
      <color rgb="FF000000"/>
      <name val="宋体"/>
      <family val="3"/>
      <charset val="134"/>
    </font>
    <font>
      <sz val="16"/>
      <name val="Times New Roman"/>
      <family val="3"/>
      <charset val="134"/>
    </font>
    <font>
      <sz val="16"/>
      <color rgb="FFFF0000"/>
      <name val="宋体"/>
      <family val="3"/>
      <charset val="134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rgb="FFFFFFFF"/>
        <bgColor indexed="64"/>
      </patternFill>
    </fill>
  </fills>
  <borders count="2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theme="3"/>
      </left>
      <right/>
      <top style="medium">
        <color theme="3"/>
      </top>
      <bottom style="medium">
        <color theme="3"/>
      </bottom>
      <diagonal/>
    </border>
    <border>
      <left/>
      <right/>
      <top style="medium">
        <color theme="3"/>
      </top>
      <bottom style="medium">
        <color theme="3"/>
      </bottom>
      <diagonal/>
    </border>
    <border>
      <left/>
      <right style="medium">
        <color theme="3"/>
      </right>
      <top style="medium">
        <color theme="3"/>
      </top>
      <bottom style="medium">
        <color theme="3"/>
      </bottom>
      <diagonal/>
    </border>
    <border>
      <left style="medium">
        <color rgb="FFFFC000"/>
      </left>
      <right/>
      <top style="medium">
        <color rgb="FFFFC000"/>
      </top>
      <bottom style="medium">
        <color rgb="FFFFC000"/>
      </bottom>
      <diagonal/>
    </border>
    <border>
      <left/>
      <right/>
      <top style="medium">
        <color rgb="FFFFC000"/>
      </top>
      <bottom style="medium">
        <color rgb="FFFFC000"/>
      </bottom>
      <diagonal/>
    </border>
    <border>
      <left/>
      <right style="medium">
        <color rgb="FFFFC000"/>
      </right>
      <top style="medium">
        <color rgb="FFFFC000"/>
      </top>
      <bottom style="medium">
        <color rgb="FFFFC000"/>
      </bottom>
      <diagonal/>
    </border>
  </borders>
  <cellStyleXfs count="5">
    <xf numFmtId="0" fontId="0" fillId="0" borderId="0">
      <alignment vertical="center"/>
    </xf>
    <xf numFmtId="9" fontId="2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4" fillId="0" borderId="0" applyNumberFormat="0" applyFill="0" applyBorder="0" applyAlignment="0" applyProtection="0">
      <alignment vertical="center"/>
    </xf>
  </cellStyleXfs>
  <cellXfs count="66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8" fillId="0" borderId="0" xfId="0" applyFont="1">
      <alignment vertical="center"/>
    </xf>
    <xf numFmtId="0" fontId="6" fillId="2" borderId="1" xfId="0" applyFont="1" applyFill="1" applyBorder="1">
      <alignment vertical="center"/>
    </xf>
    <xf numFmtId="0" fontId="7" fillId="2" borderId="1" xfId="3" applyFont="1" applyFill="1" applyBorder="1" applyAlignment="1">
      <alignment horizontal="left" vertical="center"/>
    </xf>
    <xf numFmtId="0" fontId="7" fillId="2" borderId="1" xfId="2" applyFont="1" applyFill="1" applyBorder="1" applyAlignment="1">
      <alignment horizontal="left" vertical="center"/>
    </xf>
    <xf numFmtId="0" fontId="0" fillId="3" borderId="0" xfId="0" applyFill="1">
      <alignment vertical="center"/>
    </xf>
    <xf numFmtId="0" fontId="0" fillId="4" borderId="0" xfId="0" applyFill="1">
      <alignment vertical="center"/>
    </xf>
    <xf numFmtId="0" fontId="10" fillId="5" borderId="0" xfId="0" applyFont="1" applyFill="1">
      <alignment vertical="center"/>
    </xf>
    <xf numFmtId="0" fontId="6" fillId="0" borderId="1" xfId="0" applyFont="1" applyBorder="1">
      <alignment vertical="center"/>
    </xf>
    <xf numFmtId="0" fontId="0" fillId="3" borderId="0" xfId="0" applyFill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10" fillId="5" borderId="0" xfId="0" applyFont="1" applyFill="1" applyAlignment="1">
      <alignment horizontal="center" vertical="center"/>
    </xf>
    <xf numFmtId="0" fontId="0" fillId="0" borderId="0" xfId="0" applyAlignment="1">
      <alignment horizontal="left" vertical="center"/>
    </xf>
    <xf numFmtId="0" fontId="6" fillId="2" borderId="1" xfId="0" applyFont="1" applyFill="1" applyBorder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7" fillId="2" borderId="1" xfId="3" applyFont="1" applyFill="1" applyBorder="1" applyAlignment="1">
      <alignment horizontal="center" vertical="center"/>
    </xf>
    <xf numFmtId="0" fontId="9" fillId="2" borderId="1" xfId="0" applyFont="1" applyFill="1" applyBorder="1" applyAlignment="1">
      <alignment horizontal="center" vertical="center"/>
    </xf>
    <xf numFmtId="0" fontId="13" fillId="0" borderId="0" xfId="0" applyFont="1" applyAlignment="1">
      <alignment horizontal="left" vertical="center"/>
    </xf>
    <xf numFmtId="0" fontId="6" fillId="2" borderId="1" xfId="3" applyFont="1" applyFill="1" applyBorder="1" applyAlignment="1">
      <alignment horizontal="center" vertical="center"/>
    </xf>
    <xf numFmtId="0" fontId="7" fillId="2" borderId="1" xfId="2" applyFont="1" applyFill="1" applyBorder="1" applyAlignment="1">
      <alignment horizontal="center" vertical="center"/>
    </xf>
    <xf numFmtId="0" fontId="11" fillId="0" borderId="0" xfId="0" applyFont="1" applyAlignment="1">
      <alignment horizontal="left" vertical="center"/>
    </xf>
    <xf numFmtId="0" fontId="15" fillId="0" borderId="0" xfId="0" applyFont="1" applyAlignment="1">
      <alignment horizontal="center" vertical="center"/>
    </xf>
    <xf numFmtId="10" fontId="15" fillId="0" borderId="0" xfId="0" applyNumberFormat="1" applyFont="1" applyAlignment="1">
      <alignment horizontal="center" vertical="center"/>
    </xf>
    <xf numFmtId="10" fontId="15" fillId="0" borderId="0" xfId="1" applyNumberFormat="1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16" fillId="0" borderId="2" xfId="0" applyFont="1" applyBorder="1" applyAlignment="1">
      <alignment horizontal="center" vertical="center"/>
    </xf>
    <xf numFmtId="0" fontId="16" fillId="0" borderId="12" xfId="0" applyFont="1" applyBorder="1" applyAlignment="1">
      <alignment horizontal="center" vertical="center"/>
    </xf>
    <xf numFmtId="0" fontId="16" fillId="0" borderId="13" xfId="0" applyFont="1" applyBorder="1" applyAlignment="1">
      <alignment horizontal="center" vertical="center"/>
    </xf>
    <xf numFmtId="0" fontId="16" fillId="0" borderId="14" xfId="0" applyFont="1" applyBorder="1" applyAlignment="1">
      <alignment horizontal="center" vertical="center"/>
    </xf>
    <xf numFmtId="0" fontId="16" fillId="0" borderId="5" xfId="0" applyFont="1" applyBorder="1" applyAlignment="1">
      <alignment horizontal="center" vertical="center"/>
    </xf>
    <xf numFmtId="10" fontId="16" fillId="0" borderId="0" xfId="1" applyNumberFormat="1" applyFont="1" applyAlignment="1">
      <alignment horizontal="center" vertical="center"/>
    </xf>
    <xf numFmtId="10" fontId="16" fillId="0" borderId="14" xfId="1" applyNumberFormat="1" applyFont="1" applyBorder="1" applyAlignment="1">
      <alignment horizontal="center" vertical="center"/>
    </xf>
    <xf numFmtId="1" fontId="16" fillId="0" borderId="0" xfId="0" applyNumberFormat="1" applyFont="1" applyAlignment="1">
      <alignment horizontal="center" vertical="center"/>
    </xf>
    <xf numFmtId="0" fontId="17" fillId="0" borderId="10" xfId="4" applyFont="1" applyBorder="1" applyAlignment="1">
      <alignment horizontal="center" vertical="center"/>
    </xf>
    <xf numFmtId="0" fontId="16" fillId="0" borderId="3" xfId="0" applyFont="1" applyBorder="1" applyAlignment="1">
      <alignment horizontal="center" vertical="center"/>
    </xf>
    <xf numFmtId="0" fontId="16" fillId="0" borderId="4" xfId="0" applyFont="1" applyBorder="1" applyAlignment="1">
      <alignment horizontal="center" vertical="center"/>
    </xf>
    <xf numFmtId="10" fontId="16" fillId="0" borderId="4" xfId="1" applyNumberFormat="1" applyFont="1" applyBorder="1" applyAlignment="1">
      <alignment horizontal="center" vertical="center"/>
    </xf>
    <xf numFmtId="10" fontId="16" fillId="0" borderId="6" xfId="1" applyNumberFormat="1" applyFont="1" applyBorder="1" applyAlignment="1">
      <alignment horizontal="center" vertical="center"/>
    </xf>
    <xf numFmtId="0" fontId="17" fillId="0" borderId="11" xfId="4" applyFont="1" applyBorder="1" applyAlignment="1">
      <alignment horizontal="center" vertical="center"/>
    </xf>
    <xf numFmtId="0" fontId="16" fillId="0" borderId="7" xfId="0" applyFont="1" applyBorder="1" applyAlignment="1">
      <alignment horizontal="center" vertical="center"/>
    </xf>
    <xf numFmtId="0" fontId="16" fillId="0" borderId="8" xfId="0" applyFont="1" applyBorder="1" applyAlignment="1">
      <alignment horizontal="center" vertical="center"/>
    </xf>
    <xf numFmtId="10" fontId="16" fillId="0" borderId="8" xfId="1" applyNumberFormat="1" applyFont="1" applyBorder="1" applyAlignment="1">
      <alignment horizontal="center" vertical="center"/>
    </xf>
    <xf numFmtId="10" fontId="16" fillId="0" borderId="9" xfId="1" applyNumberFormat="1" applyFont="1" applyBorder="1" applyAlignment="1">
      <alignment horizontal="center" vertical="center"/>
    </xf>
    <xf numFmtId="0" fontId="6" fillId="2" borderId="1" xfId="3" applyFont="1" applyFill="1" applyBorder="1" applyAlignment="1">
      <alignment horizontal="left" vertical="center"/>
    </xf>
    <xf numFmtId="0" fontId="4" fillId="2" borderId="0" xfId="0" applyFont="1" applyFill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6" fillId="0" borderId="1" xfId="0" applyFont="1" applyBorder="1" applyAlignment="1">
      <alignment horizontal="center" vertical="center"/>
    </xf>
    <xf numFmtId="0" fontId="20" fillId="0" borderId="0" xfId="0" applyFont="1" applyAlignment="1">
      <alignment horizontal="center" vertical="center"/>
    </xf>
    <xf numFmtId="0" fontId="0" fillId="6" borderId="0" xfId="0" applyFill="1">
      <alignment vertical="center"/>
    </xf>
    <xf numFmtId="0" fontId="16" fillId="2" borderId="0" xfId="0" applyFont="1" applyFill="1" applyAlignment="1">
      <alignment horizontal="center" vertical="center"/>
    </xf>
    <xf numFmtId="0" fontId="4" fillId="0" borderId="0" xfId="0" applyFont="1" applyAlignment="1">
      <alignment horizontal="right" vertical="center"/>
    </xf>
    <xf numFmtId="0" fontId="4" fillId="0" borderId="0" xfId="0" quotePrefix="1" applyFont="1" applyAlignment="1">
      <alignment horizontal="right" vertical="center"/>
    </xf>
    <xf numFmtId="0" fontId="12" fillId="2" borderId="1" xfId="0" applyFont="1" applyFill="1" applyBorder="1" applyAlignment="1">
      <alignment horizontal="left" vertical="center"/>
    </xf>
    <xf numFmtId="0" fontId="6" fillId="4" borderId="1" xfId="0" applyFont="1" applyFill="1" applyBorder="1" applyAlignment="1">
      <alignment horizontal="left" vertical="center"/>
    </xf>
    <xf numFmtId="0" fontId="6" fillId="5" borderId="1" xfId="0" applyFont="1" applyFill="1" applyBorder="1" applyAlignment="1">
      <alignment horizontal="left" vertical="center"/>
    </xf>
    <xf numFmtId="0" fontId="6" fillId="3" borderId="1" xfId="0" applyFont="1" applyFill="1" applyBorder="1" applyAlignment="1">
      <alignment horizontal="left" vertical="center"/>
    </xf>
    <xf numFmtId="0" fontId="5" fillId="0" borderId="0" xfId="0" applyFont="1" applyAlignment="1">
      <alignment horizontal="right" vertical="center"/>
    </xf>
    <xf numFmtId="0" fontId="4" fillId="0" borderId="0" xfId="0" quotePrefix="1" applyFont="1" applyAlignment="1">
      <alignment horizontal="right" vertical="center" wrapText="1"/>
    </xf>
    <xf numFmtId="0" fontId="4" fillId="6" borderId="15" xfId="0" applyFont="1" applyFill="1" applyBorder="1" applyAlignment="1">
      <alignment horizontal="center" vertical="center"/>
    </xf>
    <xf numFmtId="0" fontId="4" fillId="0" borderId="16" xfId="0" applyFont="1" applyBorder="1" applyAlignment="1">
      <alignment horizontal="center" vertical="center"/>
    </xf>
    <xf numFmtId="0" fontId="4" fillId="0" borderId="17" xfId="0" applyFont="1" applyBorder="1" applyAlignment="1">
      <alignment horizontal="center" vertical="center"/>
    </xf>
    <xf numFmtId="0" fontId="19" fillId="0" borderId="18" xfId="0" applyFont="1" applyBorder="1" applyAlignment="1">
      <alignment horizontal="left" vertical="center"/>
    </xf>
    <xf numFmtId="0" fontId="19" fillId="0" borderId="19" xfId="0" applyFont="1" applyBorder="1" applyAlignment="1">
      <alignment horizontal="left" vertical="center"/>
    </xf>
    <xf numFmtId="0" fontId="19" fillId="0" borderId="20" xfId="0" applyFont="1" applyBorder="1" applyAlignment="1">
      <alignment horizontal="left" vertical="center"/>
    </xf>
  </cellXfs>
  <cellStyles count="5">
    <cellStyle name="百分比" xfId="1" builtinId="5"/>
    <cellStyle name="常规" xfId="0" builtinId="0"/>
    <cellStyle name="常规_Sheet1_2" xfId="2" xr:uid="{00000000-0005-0000-0000-000002000000}"/>
    <cellStyle name="常规_Sheet1_3" xfId="3" xr:uid="{00000000-0005-0000-0000-000003000000}"/>
    <cellStyle name="超链接" xfId="4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7.xml"/><Relationship Id="rId13" Type="http://schemas.microsoft.com/office/2006/relationships/vbaProject" Target="vbaProject.bin"/><Relationship Id="rId3" Type="http://schemas.openxmlformats.org/officeDocument/2006/relationships/worksheet" Target="worksheets/sheet2.xml"/><Relationship Id="rId7" Type="http://schemas.openxmlformats.org/officeDocument/2006/relationships/worksheet" Target="worksheets/sheet6.xml"/><Relationship Id="rId12" Type="http://schemas.openxmlformats.org/officeDocument/2006/relationships/calcChain" Target="calcChain.xml"/><Relationship Id="rId2" Type="http://schemas.openxmlformats.org/officeDocument/2006/relationships/worksheet" Target="worksheets/sheet1.xml"/><Relationship Id="rId1" Type="http://schemas.openxmlformats.org/officeDocument/2006/relationships/chartsheet" Target="chartsheets/sheet1.xml"/><Relationship Id="rId6" Type="http://schemas.openxmlformats.org/officeDocument/2006/relationships/worksheet" Target="worksheets/sheet5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4.xml"/><Relationship Id="rId10" Type="http://schemas.openxmlformats.org/officeDocument/2006/relationships/styles" Target="styles.xml"/><Relationship Id="rId4" Type="http://schemas.openxmlformats.org/officeDocument/2006/relationships/worksheet" Target="worksheets/sheet3.xml"/><Relationship Id="rId9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 w="25400">
          <a:noFill/>
        </a:ln>
      </c:spPr>
      <c:txPr>
        <a:bodyPr/>
        <a:lstStyle/>
        <a:p>
          <a:pPr>
            <a:defRPr sz="1400" b="0" i="0" u="none" strike="noStrike" baseline="0">
              <a:solidFill>
                <a:srgbClr val="333333"/>
              </a:solidFill>
              <a:latin typeface="Calibri"/>
              <a:ea typeface="Calibri"/>
              <a:cs typeface="Calibri"/>
            </a:defRPr>
          </a:pPr>
          <a:endParaRPr lang="zh-CN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4F81BD"/>
            </a:solidFill>
            <a:ln w="25400">
              <a:noFill/>
            </a:ln>
          </c:spPr>
          <c:invertIfNegative val="0"/>
          <c:val>
            <c:numRef>
              <c:f>Sheet1!$B$1:$B$8</c:f>
              <c:numCache>
                <c:formatCode>General</c:formatCode>
                <c:ptCount val="8"/>
                <c:pt idx="0">
                  <c:v>62</c:v>
                </c:pt>
                <c:pt idx="1">
                  <c:v>97</c:v>
                </c:pt>
                <c:pt idx="2">
                  <c:v>84</c:v>
                </c:pt>
                <c:pt idx="3" formatCode="0.00%">
                  <c:v>0.2551440329218107</c:v>
                </c:pt>
                <c:pt idx="4" formatCode="0.00%">
                  <c:v>0.65432098765432101</c:v>
                </c:pt>
                <c:pt idx="5">
                  <c:v>243</c:v>
                </c:pt>
                <c:pt idx="6">
                  <c:v>261</c:v>
                </c:pt>
                <c:pt idx="7" formatCode="0.00%">
                  <c:v>0.93103448275862066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26D-4696-B9B3-12A6B26321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15252448"/>
        <c:axId val="1"/>
      </c:barChart>
      <c:catAx>
        <c:axId val="515252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zh-CN"/>
          </a:p>
        </c:txPr>
        <c:crossAx val="1"/>
        <c:crosses val="autoZero"/>
        <c:auto val="1"/>
        <c:lblAlgn val="ctr"/>
        <c:lblOffset val="100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ln w="9525">
            <a:noFill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333333"/>
                </a:solidFill>
                <a:latin typeface="Calibri"/>
                <a:ea typeface="Calibri"/>
                <a:cs typeface="Calibri"/>
              </a:defRPr>
            </a:pPr>
            <a:endParaRPr lang="zh-CN"/>
          </a:p>
        </c:txPr>
        <c:crossAx val="51525244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zh-CN"/>
    </a:p>
  </c:txPr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000-000000000000}">
  <sheetPr codeName="图表1"/>
  <sheetViews>
    <sheetView zoomScale="121" workbookViewId="0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Radio" firstButton="1" lockText="1" noThreeD="1"/>
</file>

<file path=xl/ctrlProps/ctrlProp4.xml><?xml version="1.0" encoding="utf-8"?>
<formControlPr xmlns="http://schemas.microsoft.com/office/spreadsheetml/2009/9/main" objectType="Radio" lockText="1" noThreeD="1"/>
</file>

<file path=xl/ctrlProps/ctrlProp5.xml><?xml version="1.0" encoding="utf-8"?>
<formControlPr xmlns="http://schemas.microsoft.com/office/spreadsheetml/2009/9/main" objectType="Radio" lockText="1" noThreeD="1"/>
</file>

<file path=xl/ctrlProps/ctrlProp6.xml><?xml version="1.0" encoding="utf-8"?>
<formControlPr xmlns="http://schemas.microsoft.com/office/spreadsheetml/2009/9/main" objectType="Radio" checked="Checked" lockText="1" noThreeD="1"/>
</file>

<file path=xl/ctrlProps/ctrlProp7.xml><?xml version="1.0" encoding="utf-8"?>
<formControlPr xmlns="http://schemas.microsoft.com/office/spreadsheetml/2009/9/main" objectType="Radio" lockText="1" noThreeD="1"/>
</file>

<file path=xl/ctrlProps/ctrlProp8.xml><?xml version="1.0" encoding="utf-8"?>
<formControlPr xmlns="http://schemas.microsoft.com/office/spreadsheetml/2009/9/main" objectType="Radio" lockText="1" noThreeD="1"/>
</file>

<file path=xl/ctrlProps/ctrlProp9.xml><?xml version="1.0" encoding="utf-8"?>
<formControlPr xmlns="http://schemas.microsoft.com/office/spreadsheetml/2009/9/main" objectType="Radio" lockText="1" noThreeD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67750" cy="6076950"/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76200</xdr:colOff>
          <xdr:row>4</xdr:row>
          <xdr:rowOff>95250</xdr:rowOff>
        </xdr:from>
        <xdr:to>
          <xdr:col>10</xdr:col>
          <xdr:colOff>714375</xdr:colOff>
          <xdr:row>4</xdr:row>
          <xdr:rowOff>542925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抽词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76200</xdr:colOff>
          <xdr:row>4</xdr:row>
          <xdr:rowOff>95250</xdr:rowOff>
        </xdr:from>
        <xdr:to>
          <xdr:col>11</xdr:col>
          <xdr:colOff>714375</xdr:colOff>
          <xdr:row>4</xdr:row>
          <xdr:rowOff>542925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解释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304800</xdr:colOff>
          <xdr:row>4</xdr:row>
          <xdr:rowOff>209550</xdr:rowOff>
        </xdr:from>
        <xdr:to>
          <xdr:col>9</xdr:col>
          <xdr:colOff>657225</xdr:colOff>
          <xdr:row>4</xdr:row>
          <xdr:rowOff>476250</xdr:rowOff>
        </xdr:to>
        <xdr:sp macro="" textlink="">
          <xdr:nvSpPr>
            <xdr:cNvPr id="2053" name="选项按钮1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1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304800</xdr:colOff>
          <xdr:row>5</xdr:row>
          <xdr:rowOff>209550</xdr:rowOff>
        </xdr:from>
        <xdr:to>
          <xdr:col>9</xdr:col>
          <xdr:colOff>657225</xdr:colOff>
          <xdr:row>5</xdr:row>
          <xdr:rowOff>476250</xdr:rowOff>
        </xdr:to>
        <xdr:sp macro="" textlink="">
          <xdr:nvSpPr>
            <xdr:cNvPr id="2054" name="选项按钮2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1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304800</xdr:colOff>
          <xdr:row>6</xdr:row>
          <xdr:rowOff>209550</xdr:rowOff>
        </xdr:from>
        <xdr:to>
          <xdr:col>9</xdr:col>
          <xdr:colOff>657225</xdr:colOff>
          <xdr:row>6</xdr:row>
          <xdr:rowOff>476250</xdr:rowOff>
        </xdr:to>
        <xdr:sp macro="" textlink="">
          <xdr:nvSpPr>
            <xdr:cNvPr id="2055" name="选项按钮3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1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304800</xdr:colOff>
          <xdr:row>7</xdr:row>
          <xdr:rowOff>209550</xdr:rowOff>
        </xdr:from>
        <xdr:to>
          <xdr:col>9</xdr:col>
          <xdr:colOff>657225</xdr:colOff>
          <xdr:row>7</xdr:row>
          <xdr:rowOff>476250</xdr:rowOff>
        </xdr:to>
        <xdr:sp macro="" textlink="">
          <xdr:nvSpPr>
            <xdr:cNvPr id="2056" name="选项按钮4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1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304800</xdr:colOff>
          <xdr:row>8</xdr:row>
          <xdr:rowOff>209550</xdr:rowOff>
        </xdr:from>
        <xdr:to>
          <xdr:col>9</xdr:col>
          <xdr:colOff>657225</xdr:colOff>
          <xdr:row>8</xdr:row>
          <xdr:rowOff>476250</xdr:rowOff>
        </xdr:to>
        <xdr:sp macro="" textlink="">
          <xdr:nvSpPr>
            <xdr:cNvPr id="2057" name="选项按钮5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1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304800</xdr:colOff>
          <xdr:row>9</xdr:row>
          <xdr:rowOff>209550</xdr:rowOff>
        </xdr:from>
        <xdr:to>
          <xdr:col>9</xdr:col>
          <xdr:colOff>657225</xdr:colOff>
          <xdr:row>9</xdr:row>
          <xdr:rowOff>476250</xdr:rowOff>
        </xdr:to>
        <xdr:sp macro="" textlink="">
          <xdr:nvSpPr>
            <xdr:cNvPr id="2058" name="选项按钮6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1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304800</xdr:colOff>
          <xdr:row>3</xdr:row>
          <xdr:rowOff>209550</xdr:rowOff>
        </xdr:from>
        <xdr:to>
          <xdr:col>9</xdr:col>
          <xdr:colOff>657225</xdr:colOff>
          <xdr:row>3</xdr:row>
          <xdr:rowOff>476250</xdr:rowOff>
        </xdr:to>
        <xdr:sp macro="" textlink="">
          <xdr:nvSpPr>
            <xdr:cNvPr id="2060" name="选项按钮0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1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76200</xdr:colOff>
          <xdr:row>4</xdr:row>
          <xdr:rowOff>95250</xdr:rowOff>
        </xdr:from>
        <xdr:to>
          <xdr:col>13</xdr:col>
          <xdr:colOff>714375</xdr:colOff>
          <xdr:row>4</xdr:row>
          <xdr:rowOff>542925</xdr:rowOff>
        </xdr:to>
        <xdr:sp macro="" textlink="">
          <xdr:nvSpPr>
            <xdr:cNvPr id="2061" name="Button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1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掌握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76200</xdr:colOff>
          <xdr:row>4</xdr:row>
          <xdr:rowOff>95250</xdr:rowOff>
        </xdr:from>
        <xdr:to>
          <xdr:col>14</xdr:col>
          <xdr:colOff>714375</xdr:colOff>
          <xdr:row>4</xdr:row>
          <xdr:rowOff>542925</xdr:rowOff>
        </xdr:to>
        <xdr:sp macro="" textlink="">
          <xdr:nvSpPr>
            <xdr:cNvPr id="2062" name="Button 14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1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一般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76200</xdr:colOff>
          <xdr:row>4</xdr:row>
          <xdr:rowOff>95250</xdr:rowOff>
        </xdr:from>
        <xdr:to>
          <xdr:col>15</xdr:col>
          <xdr:colOff>714375</xdr:colOff>
          <xdr:row>4</xdr:row>
          <xdr:rowOff>542925</xdr:rowOff>
        </xdr:to>
        <xdr:sp macro="" textlink="">
          <xdr:nvSpPr>
            <xdr:cNvPr id="2064" name="Button 16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1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陌生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13" Type="http://schemas.openxmlformats.org/officeDocument/2006/relationships/ctrlProp" Target="../ctrlProps/ctrlProp11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12" Type="http://schemas.openxmlformats.org/officeDocument/2006/relationships/ctrlProp" Target="../ctrlProps/ctrlProp10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Relationship Id="rId14" Type="http://schemas.openxmlformats.org/officeDocument/2006/relationships/ctrlProp" Target="../ctrlProps/ctrlProp1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5B96FB-FD03-4891-8BAE-BF1A459B093C}">
  <sheetPr codeName="Sheet7"/>
  <dimension ref="A1:Y10"/>
  <sheetViews>
    <sheetView zoomScale="85" zoomScaleNormal="85" workbookViewId="0">
      <selection activeCell="K10" sqref="K10"/>
    </sheetView>
  </sheetViews>
  <sheetFormatPr defaultColWidth="10.625" defaultRowHeight="50.1" customHeight="1" x14ac:dyDescent="0.15"/>
  <cols>
    <col min="1" max="12" width="10.625" style="26"/>
    <col min="13" max="14" width="10.625" style="26" customWidth="1"/>
    <col min="15" max="16384" width="10.625" style="26"/>
  </cols>
  <sheetData>
    <row r="1" spans="1:25" ht="50.1" customHeight="1" x14ac:dyDescent="0.15">
      <c r="A1" s="51"/>
    </row>
    <row r="2" spans="1:25" ht="50.1" customHeight="1" thickBot="1" x14ac:dyDescent="0.2"/>
    <row r="3" spans="1:25" ht="50.1" customHeight="1" thickBot="1" x14ac:dyDescent="0.2">
      <c r="B3" s="27"/>
      <c r="C3" s="28" t="s">
        <v>16</v>
      </c>
      <c r="D3" s="29" t="s">
        <v>17</v>
      </c>
      <c r="E3" s="29" t="s">
        <v>18</v>
      </c>
      <c r="F3" s="29" t="s">
        <v>19</v>
      </c>
      <c r="G3" s="29" t="s">
        <v>14</v>
      </c>
      <c r="H3" s="29" t="s">
        <v>20</v>
      </c>
      <c r="I3" s="30" t="s">
        <v>21</v>
      </c>
      <c r="K3" s="60" t="s">
        <v>25</v>
      </c>
      <c r="L3" s="61"/>
      <c r="M3" s="62"/>
      <c r="O3" s="63"/>
      <c r="P3" s="64"/>
      <c r="Q3" s="64"/>
      <c r="R3" s="64"/>
      <c r="S3" s="64"/>
      <c r="T3" s="64"/>
      <c r="U3" s="64"/>
      <c r="V3" s="64"/>
      <c r="W3" s="64"/>
      <c r="X3" s="64"/>
      <c r="Y3" s="65"/>
    </row>
    <row r="4" spans="1:25" ht="50.25" customHeight="1" thickBot="1" x14ac:dyDescent="0.2">
      <c r="B4" s="27" t="s">
        <v>15</v>
      </c>
      <c r="C4" s="31">
        <f>SUM(C5:C10)</f>
        <v>64</v>
      </c>
      <c r="D4" s="26">
        <f>SUM(D5:D10)</f>
        <v>97</v>
      </c>
      <c r="E4" s="26">
        <f>SUM(E5:E10)</f>
        <v>87</v>
      </c>
      <c r="F4" s="26">
        <f t="shared" ref="F4:F10" si="0">C4+D4+E4</f>
        <v>248</v>
      </c>
      <c r="G4" s="26">
        <v>3071</v>
      </c>
      <c r="H4" s="32">
        <f t="shared" ref="H4:H10" si="1">(F4/G4)</f>
        <v>8.0755454249430147E-2</v>
      </c>
      <c r="I4" s="33">
        <f t="shared" ref="I4:I10" si="2">C4/G4</f>
        <v>2.0840117225659396E-2</v>
      </c>
      <c r="L4" s="34"/>
    </row>
    <row r="5" spans="1:25" ht="50.1" customHeight="1" x14ac:dyDescent="0.15">
      <c r="B5" s="35" t="s">
        <v>8</v>
      </c>
      <c r="C5" s="36">
        <f>(Sheet1!B1)</f>
        <v>62</v>
      </c>
      <c r="D5" s="37">
        <f>(Sheet1!B2)</f>
        <v>97</v>
      </c>
      <c r="E5" s="37">
        <f>(Sheet1!B3)</f>
        <v>84</v>
      </c>
      <c r="F5" s="37">
        <f t="shared" si="0"/>
        <v>243</v>
      </c>
      <c r="G5" s="37">
        <v>500</v>
      </c>
      <c r="H5" s="38">
        <f t="shared" si="1"/>
        <v>0.48599999999999999</v>
      </c>
      <c r="I5" s="39">
        <f t="shared" si="2"/>
        <v>0.124</v>
      </c>
    </row>
    <row r="6" spans="1:25" ht="50.1" customHeight="1" x14ac:dyDescent="0.15">
      <c r="B6" s="35" t="s">
        <v>9</v>
      </c>
      <c r="C6" s="31">
        <f>(Sheet2!B1)</f>
        <v>1</v>
      </c>
      <c r="D6" s="26">
        <f>(Sheet2!B2)</f>
        <v>0</v>
      </c>
      <c r="E6" s="26">
        <f>(Sheet2!B3)</f>
        <v>0</v>
      </c>
      <c r="F6" s="26">
        <f t="shared" si="0"/>
        <v>1</v>
      </c>
      <c r="G6" s="26">
        <v>500</v>
      </c>
      <c r="H6" s="32">
        <f t="shared" si="1"/>
        <v>2E-3</v>
      </c>
      <c r="I6" s="39">
        <f t="shared" si="2"/>
        <v>2E-3</v>
      </c>
    </row>
    <row r="7" spans="1:25" ht="50.1" customHeight="1" x14ac:dyDescent="0.15">
      <c r="B7" s="35" t="s">
        <v>10</v>
      </c>
      <c r="C7" s="31">
        <f>(Sheet3!B1)</f>
        <v>0</v>
      </c>
      <c r="D7" s="26">
        <f>(Sheet3!B2)</f>
        <v>0</v>
      </c>
      <c r="E7" s="26">
        <f>(Sheet3!B3)</f>
        <v>0</v>
      </c>
      <c r="F7" s="26">
        <f t="shared" si="0"/>
        <v>0</v>
      </c>
      <c r="G7" s="26">
        <v>500</v>
      </c>
      <c r="H7" s="32">
        <f t="shared" si="1"/>
        <v>0</v>
      </c>
      <c r="I7" s="39">
        <f t="shared" si="2"/>
        <v>0</v>
      </c>
    </row>
    <row r="8" spans="1:25" ht="50.1" customHeight="1" x14ac:dyDescent="0.15">
      <c r="B8" s="35" t="s">
        <v>11</v>
      </c>
      <c r="C8" s="31">
        <f>(Sheet4!B1)</f>
        <v>0</v>
      </c>
      <c r="D8" s="26">
        <f>(Sheet4!B2)</f>
        <v>0</v>
      </c>
      <c r="E8" s="26">
        <f>(Sheet4!B3)</f>
        <v>0</v>
      </c>
      <c r="F8" s="26">
        <f t="shared" si="0"/>
        <v>0</v>
      </c>
      <c r="G8" s="26">
        <v>500</v>
      </c>
      <c r="H8" s="32">
        <f t="shared" si="1"/>
        <v>0</v>
      </c>
      <c r="I8" s="39">
        <f t="shared" si="2"/>
        <v>0</v>
      </c>
    </row>
    <row r="9" spans="1:25" ht="50.1" customHeight="1" x14ac:dyDescent="0.15">
      <c r="B9" s="35" t="s">
        <v>12</v>
      </c>
      <c r="C9" s="31">
        <f>(Sheet5!B1)</f>
        <v>0</v>
      </c>
      <c r="D9" s="26">
        <f>(Sheet5!B2)</f>
        <v>0</v>
      </c>
      <c r="E9" s="26">
        <f>(Sheet5!B3)</f>
        <v>0</v>
      </c>
      <c r="F9" s="26">
        <f t="shared" si="0"/>
        <v>0</v>
      </c>
      <c r="G9" s="26">
        <v>500</v>
      </c>
      <c r="H9" s="32">
        <f t="shared" si="1"/>
        <v>0</v>
      </c>
      <c r="I9" s="39">
        <f t="shared" si="2"/>
        <v>0</v>
      </c>
    </row>
    <row r="10" spans="1:25" ht="50.1" customHeight="1" thickBot="1" x14ac:dyDescent="0.2">
      <c r="B10" s="40" t="s">
        <v>13</v>
      </c>
      <c r="C10" s="41">
        <f>(Sheet6!B1)</f>
        <v>1</v>
      </c>
      <c r="D10" s="42">
        <f>(Sheet6!B2)</f>
        <v>0</v>
      </c>
      <c r="E10" s="42">
        <f>(Sheet6!B3)</f>
        <v>3</v>
      </c>
      <c r="F10" s="42">
        <f t="shared" si="0"/>
        <v>4</v>
      </c>
      <c r="G10" s="42">
        <v>571</v>
      </c>
      <c r="H10" s="43">
        <f t="shared" si="1"/>
        <v>7.0052539404553416E-3</v>
      </c>
      <c r="I10" s="44">
        <f t="shared" si="2"/>
        <v>1.7513134851138354E-3</v>
      </c>
    </row>
  </sheetData>
  <mergeCells count="2">
    <mergeCell ref="K3:M3"/>
    <mergeCell ref="O3:Y3"/>
  </mergeCells>
  <phoneticPr fontId="1" type="noConversion"/>
  <conditionalFormatting sqref="H5:H10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5:I10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B6" location="Sheet2!A1" display="Sheet2" xr:uid="{2B1448C9-ECC5-4E99-9C71-683996AF2291}"/>
    <hyperlink ref="B5" location="Sheet1!A1" display="Sheet1" xr:uid="{133664E3-0BD2-4D01-8BCE-07C981FD5ACA}"/>
    <hyperlink ref="B7" location="Sheet3!A1" display="Sheet3" xr:uid="{AFACB022-ECFE-43D7-ACB9-70A1E3448DFC}"/>
    <hyperlink ref="B8" location="Sheet4!A1" display="Sheet4" xr:uid="{1E9EBB8C-09EA-4F8D-A866-96A5F84529F0}"/>
    <hyperlink ref="B9" location="Sheet5!A1" display="Sheet5" xr:uid="{F83584E0-467C-4918-AA0F-BB5EA138C698}"/>
    <hyperlink ref="B10" location="Sheet6!A1" display="Sheet6" xr:uid="{8AC1E907-FE7A-4260-AA35-341D693DDEBD}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抽词1_Click">
                <anchor moveWithCells="1" sizeWithCells="1">
                  <from>
                    <xdr:col>10</xdr:col>
                    <xdr:colOff>76200</xdr:colOff>
                    <xdr:row>4</xdr:row>
                    <xdr:rowOff>95250</xdr:rowOff>
                  </from>
                  <to>
                    <xdr:col>10</xdr:col>
                    <xdr:colOff>714375</xdr:colOff>
                    <xdr:row>4</xdr:row>
                    <xdr:rowOff>542925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解释1_Click">
                <anchor moveWithCells="1" sizeWithCells="1">
                  <from>
                    <xdr:col>11</xdr:col>
                    <xdr:colOff>76200</xdr:colOff>
                    <xdr:row>4</xdr:row>
                    <xdr:rowOff>95250</xdr:rowOff>
                  </from>
                  <to>
                    <xdr:col>11</xdr:col>
                    <xdr:colOff>714375</xdr:colOff>
                    <xdr:row>4</xdr:row>
                    <xdr:rowOff>542925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5" name="选项按钮1">
              <controlPr defaultSize="0" autoFill="0" autoLine="0" autoPict="0" macro="[0]!选项按钮1_Click">
                <anchor moveWithCells="1">
                  <from>
                    <xdr:col>9</xdr:col>
                    <xdr:colOff>304800</xdr:colOff>
                    <xdr:row>4</xdr:row>
                    <xdr:rowOff>209550</xdr:rowOff>
                  </from>
                  <to>
                    <xdr:col>9</xdr:col>
                    <xdr:colOff>657225</xdr:colOff>
                    <xdr:row>4</xdr:row>
                    <xdr:rowOff>476250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6" name="选项按钮2">
              <controlPr defaultSize="0" autoFill="0" autoLine="0" autoPict="0" macro="[0]!选项按钮2_Click">
                <anchor moveWithCells="1">
                  <from>
                    <xdr:col>9</xdr:col>
                    <xdr:colOff>304800</xdr:colOff>
                    <xdr:row>5</xdr:row>
                    <xdr:rowOff>209550</xdr:rowOff>
                  </from>
                  <to>
                    <xdr:col>9</xdr:col>
                    <xdr:colOff>657225</xdr:colOff>
                    <xdr:row>5</xdr:row>
                    <xdr:rowOff>476250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7" name="选项按钮3">
              <controlPr defaultSize="0" autoFill="0" autoLine="0" autoPict="0" macro="[0]!选项按钮3_Click">
                <anchor moveWithCells="1">
                  <from>
                    <xdr:col>9</xdr:col>
                    <xdr:colOff>304800</xdr:colOff>
                    <xdr:row>6</xdr:row>
                    <xdr:rowOff>209550</xdr:rowOff>
                  </from>
                  <to>
                    <xdr:col>9</xdr:col>
                    <xdr:colOff>657225</xdr:colOff>
                    <xdr:row>6</xdr:row>
                    <xdr:rowOff>476250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8" name="选项按钮4">
              <controlPr defaultSize="0" autoFill="0" autoLine="0" autoPict="0" macro="[0]!选项按钮4_Click">
                <anchor moveWithCells="1">
                  <from>
                    <xdr:col>9</xdr:col>
                    <xdr:colOff>304800</xdr:colOff>
                    <xdr:row>7</xdr:row>
                    <xdr:rowOff>209550</xdr:rowOff>
                  </from>
                  <to>
                    <xdr:col>9</xdr:col>
                    <xdr:colOff>657225</xdr:colOff>
                    <xdr:row>7</xdr:row>
                    <xdr:rowOff>476250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9" name="选项按钮5">
              <controlPr defaultSize="0" autoFill="0" autoLine="0" autoPict="0" macro="[0]!选项按钮5_Click">
                <anchor moveWithCells="1">
                  <from>
                    <xdr:col>9</xdr:col>
                    <xdr:colOff>304800</xdr:colOff>
                    <xdr:row>8</xdr:row>
                    <xdr:rowOff>209550</xdr:rowOff>
                  </from>
                  <to>
                    <xdr:col>9</xdr:col>
                    <xdr:colOff>657225</xdr:colOff>
                    <xdr:row>8</xdr:row>
                    <xdr:rowOff>476250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10" name="选项按钮6">
              <controlPr defaultSize="0" autoFill="0" autoLine="0" autoPict="0" macro="[0]!选项按钮6_Click">
                <anchor moveWithCells="1">
                  <from>
                    <xdr:col>9</xdr:col>
                    <xdr:colOff>304800</xdr:colOff>
                    <xdr:row>9</xdr:row>
                    <xdr:rowOff>209550</xdr:rowOff>
                  </from>
                  <to>
                    <xdr:col>9</xdr:col>
                    <xdr:colOff>657225</xdr:colOff>
                    <xdr:row>9</xdr:row>
                    <xdr:rowOff>476250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11" name="选项按钮0">
              <controlPr defaultSize="0" autoFill="0" autoLine="0" autoPict="0" macro="[0]!选项按钮0_Click">
                <anchor moveWithCells="1">
                  <from>
                    <xdr:col>9</xdr:col>
                    <xdr:colOff>304800</xdr:colOff>
                    <xdr:row>3</xdr:row>
                    <xdr:rowOff>209550</xdr:rowOff>
                  </from>
                  <to>
                    <xdr:col>9</xdr:col>
                    <xdr:colOff>657225</xdr:colOff>
                    <xdr:row>3</xdr:row>
                    <xdr:rowOff>476250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12" name="Button 13">
              <controlPr defaultSize="0" print="0" autoFill="0" autoPict="0" macro="[0]!标色1_Click">
                <anchor moveWithCells="1" sizeWithCells="1">
                  <from>
                    <xdr:col>13</xdr:col>
                    <xdr:colOff>76200</xdr:colOff>
                    <xdr:row>4</xdr:row>
                    <xdr:rowOff>95250</xdr:rowOff>
                  </from>
                  <to>
                    <xdr:col>13</xdr:col>
                    <xdr:colOff>714375</xdr:colOff>
                    <xdr:row>4</xdr:row>
                    <xdr:rowOff>542925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13" name="Button 14">
              <controlPr defaultSize="0" print="0" autoFill="0" autoPict="0" macro="[0]!标色2_Click">
                <anchor moveWithCells="1" sizeWithCells="1">
                  <from>
                    <xdr:col>14</xdr:col>
                    <xdr:colOff>76200</xdr:colOff>
                    <xdr:row>4</xdr:row>
                    <xdr:rowOff>95250</xdr:rowOff>
                  </from>
                  <to>
                    <xdr:col>14</xdr:col>
                    <xdr:colOff>714375</xdr:colOff>
                    <xdr:row>4</xdr:row>
                    <xdr:rowOff>542925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14" name="Button 16">
              <controlPr defaultSize="0" print="0" autoFill="0" autoPict="0" macro="[0]!标色3_Click">
                <anchor moveWithCells="1" sizeWithCells="1">
                  <from>
                    <xdr:col>15</xdr:col>
                    <xdr:colOff>76200</xdr:colOff>
                    <xdr:row>4</xdr:row>
                    <xdr:rowOff>95250</xdr:rowOff>
                  </from>
                  <to>
                    <xdr:col>15</xdr:col>
                    <xdr:colOff>714375</xdr:colOff>
                    <xdr:row>4</xdr:row>
                    <xdr:rowOff>542925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G507"/>
  <sheetViews>
    <sheetView topLeftCell="A175" zoomScale="85" zoomScaleNormal="85" zoomScaleSheetLayoutView="100" workbookViewId="0">
      <selection activeCell="E256" sqref="E256"/>
    </sheetView>
  </sheetViews>
  <sheetFormatPr defaultColWidth="10.625" defaultRowHeight="50.1" customHeight="1" x14ac:dyDescent="0.15"/>
  <cols>
    <col min="1" max="3" width="10.625" style="1"/>
    <col min="4" max="5" width="30.625" style="15" customWidth="1"/>
    <col min="6" max="6" width="50.625" style="52" customWidth="1"/>
    <col min="7" max="7" width="200.625" style="16" customWidth="1"/>
    <col min="8" max="16384" width="10.625" style="14"/>
  </cols>
  <sheetData>
    <row r="1" spans="1:7" ht="50.1" customHeight="1" x14ac:dyDescent="0.15">
      <c r="A1" s="23" t="s">
        <v>0</v>
      </c>
      <c r="B1" s="23">
        <f>colorfunction(C1,D1:D500,FALSE)</f>
        <v>62</v>
      </c>
      <c r="C1" s="10"/>
      <c r="D1" s="55" t="s">
        <v>98</v>
      </c>
      <c r="F1" s="52" t="s">
        <v>134</v>
      </c>
      <c r="G1" s="16" t="s">
        <v>125</v>
      </c>
    </row>
    <row r="2" spans="1:7" ht="50.1" customHeight="1" x14ac:dyDescent="0.15">
      <c r="A2" s="23" t="s">
        <v>1</v>
      </c>
      <c r="B2" s="23">
        <f>colorfunction(C2,D1:D500,FALSE)</f>
        <v>97</v>
      </c>
      <c r="C2" s="12"/>
      <c r="D2" s="55" t="s">
        <v>99</v>
      </c>
      <c r="F2" s="52" t="s">
        <v>126</v>
      </c>
      <c r="G2" s="16" t="s">
        <v>127</v>
      </c>
    </row>
    <row r="3" spans="1:7" ht="50.1" customHeight="1" x14ac:dyDescent="0.15">
      <c r="A3" s="23" t="s">
        <v>2</v>
      </c>
      <c r="B3" s="23">
        <f>colorfunction(C3,D1:D500,FALSE)</f>
        <v>84</v>
      </c>
      <c r="C3" s="13"/>
      <c r="D3" s="56" t="s">
        <v>100</v>
      </c>
      <c r="F3" s="52" t="s">
        <v>128</v>
      </c>
      <c r="G3" s="16" t="s">
        <v>129</v>
      </c>
    </row>
    <row r="4" spans="1:7" ht="50.1" customHeight="1" x14ac:dyDescent="0.15">
      <c r="A4" s="23" t="s">
        <v>3</v>
      </c>
      <c r="B4" s="24">
        <f>B1/(B1+B2+B3)</f>
        <v>0.2551440329218107</v>
      </c>
      <c r="D4" s="56" t="s">
        <v>101</v>
      </c>
      <c r="F4" s="53" t="s">
        <v>131</v>
      </c>
      <c r="G4" s="16" t="s">
        <v>130</v>
      </c>
    </row>
    <row r="5" spans="1:7" ht="50.1" customHeight="1" x14ac:dyDescent="0.15">
      <c r="A5" s="23" t="s">
        <v>4</v>
      </c>
      <c r="B5" s="24">
        <f>(B1 + B2) / (B1+B2+B3)</f>
        <v>0.65432098765432101</v>
      </c>
      <c r="D5" s="56" t="s">
        <v>102</v>
      </c>
      <c r="F5" s="52" t="s">
        <v>133</v>
      </c>
      <c r="G5" s="16" t="s">
        <v>132</v>
      </c>
    </row>
    <row r="6" spans="1:7" ht="50.1" customHeight="1" x14ac:dyDescent="0.15">
      <c r="A6" s="23" t="s">
        <v>5</v>
      </c>
      <c r="B6" s="23">
        <f xml:space="preserve"> B1 + B2 +B3</f>
        <v>243</v>
      </c>
      <c r="D6" s="56" t="s">
        <v>103</v>
      </c>
      <c r="F6" s="53" t="s">
        <v>135</v>
      </c>
      <c r="G6" s="16" t="s">
        <v>136</v>
      </c>
    </row>
    <row r="7" spans="1:7" ht="50.1" customHeight="1" x14ac:dyDescent="0.15">
      <c r="A7" s="23" t="s">
        <v>6</v>
      </c>
      <c r="B7" s="23">
        <f>COUNTA(D1:D500)</f>
        <v>261</v>
      </c>
      <c r="D7" s="57" t="s">
        <v>104</v>
      </c>
      <c r="F7" s="52" t="s">
        <v>138</v>
      </c>
      <c r="G7" s="16" t="s">
        <v>137</v>
      </c>
    </row>
    <row r="8" spans="1:7" ht="50.1" customHeight="1" x14ac:dyDescent="0.15">
      <c r="A8" s="23" t="s">
        <v>7</v>
      </c>
      <c r="B8" s="25">
        <f>B6 / B7</f>
        <v>0.93103448275862066</v>
      </c>
      <c r="D8" s="57" t="s">
        <v>105</v>
      </c>
      <c r="F8" s="52" t="s">
        <v>139</v>
      </c>
      <c r="G8" s="16" t="s">
        <v>140</v>
      </c>
    </row>
    <row r="9" spans="1:7" ht="50.1" customHeight="1" x14ac:dyDescent="0.15">
      <c r="A9" s="23"/>
      <c r="B9" s="25"/>
      <c r="D9" s="56" t="s">
        <v>106</v>
      </c>
      <c r="F9" s="52" t="s">
        <v>142</v>
      </c>
      <c r="G9" s="16" t="s">
        <v>141</v>
      </c>
    </row>
    <row r="10" spans="1:7" ht="50.1" customHeight="1" x14ac:dyDescent="0.15">
      <c r="A10" s="23"/>
      <c r="B10" s="25"/>
      <c r="D10" s="55" t="s">
        <v>107</v>
      </c>
      <c r="F10" s="53" t="s">
        <v>146</v>
      </c>
      <c r="G10" s="16" t="s">
        <v>145</v>
      </c>
    </row>
    <row r="11" spans="1:7" ht="50.1" customHeight="1" x14ac:dyDescent="0.15">
      <c r="A11" s="23"/>
      <c r="B11" s="25"/>
      <c r="D11" s="56" t="s">
        <v>85</v>
      </c>
      <c r="F11" s="52" t="s">
        <v>144</v>
      </c>
      <c r="G11" s="16" t="s">
        <v>143</v>
      </c>
    </row>
    <row r="12" spans="1:7" ht="50.1" customHeight="1" x14ac:dyDescent="0.15">
      <c r="A12" s="23"/>
      <c r="B12" s="25"/>
      <c r="D12" s="57" t="s">
        <v>48</v>
      </c>
      <c r="F12" s="52" t="s">
        <v>51</v>
      </c>
      <c r="G12" s="16" t="s">
        <v>49</v>
      </c>
    </row>
    <row r="13" spans="1:7" ht="50.1" customHeight="1" x14ac:dyDescent="0.15">
      <c r="A13" s="23"/>
      <c r="B13" s="25"/>
      <c r="D13" s="55" t="s">
        <v>108</v>
      </c>
      <c r="F13" s="52" t="s">
        <v>147</v>
      </c>
      <c r="G13" s="16" t="s">
        <v>148</v>
      </c>
    </row>
    <row r="14" spans="1:7" ht="50.1" customHeight="1" x14ac:dyDescent="0.15">
      <c r="A14" s="23"/>
      <c r="B14" s="25"/>
      <c r="D14" s="56" t="s">
        <v>109</v>
      </c>
      <c r="F14" s="53" t="s">
        <v>153</v>
      </c>
      <c r="G14" s="16" t="s">
        <v>154</v>
      </c>
    </row>
    <row r="15" spans="1:7" ht="50.1" customHeight="1" x14ac:dyDescent="0.15">
      <c r="A15" s="23"/>
      <c r="B15" s="25"/>
      <c r="D15" s="55" t="s">
        <v>110</v>
      </c>
      <c r="F15" s="52" t="s">
        <v>155</v>
      </c>
      <c r="G15" s="16" t="s">
        <v>156</v>
      </c>
    </row>
    <row r="16" spans="1:7" ht="50.1" customHeight="1" x14ac:dyDescent="0.15">
      <c r="A16" s="23"/>
      <c r="B16" s="25"/>
      <c r="D16" s="55" t="s">
        <v>111</v>
      </c>
      <c r="F16" s="52" t="s">
        <v>158</v>
      </c>
      <c r="G16" s="16" t="s">
        <v>157</v>
      </c>
    </row>
    <row r="17" spans="1:7" ht="50.1" customHeight="1" x14ac:dyDescent="0.15">
      <c r="A17" s="23"/>
      <c r="B17" s="25"/>
      <c r="D17" s="56" t="s">
        <v>112</v>
      </c>
      <c r="F17" s="52" t="s">
        <v>151</v>
      </c>
      <c r="G17" s="16" t="s">
        <v>152</v>
      </c>
    </row>
    <row r="18" spans="1:7" ht="50.1" customHeight="1" x14ac:dyDescent="0.15">
      <c r="D18" s="56" t="s">
        <v>86</v>
      </c>
      <c r="F18" s="52" t="s">
        <v>150</v>
      </c>
      <c r="G18" s="16" t="s">
        <v>149</v>
      </c>
    </row>
    <row r="19" spans="1:7" ht="50.1" customHeight="1" x14ac:dyDescent="0.15">
      <c r="D19" s="56" t="s">
        <v>113</v>
      </c>
      <c r="F19" s="53" t="s">
        <v>159</v>
      </c>
      <c r="G19" s="16" t="s">
        <v>160</v>
      </c>
    </row>
    <row r="20" spans="1:7" ht="50.1" customHeight="1" x14ac:dyDescent="0.15">
      <c r="D20" s="56" t="s">
        <v>114</v>
      </c>
      <c r="F20" s="52" t="s">
        <v>162</v>
      </c>
      <c r="G20" s="16" t="s">
        <v>161</v>
      </c>
    </row>
    <row r="21" spans="1:7" ht="50.1" customHeight="1" x14ac:dyDescent="0.15">
      <c r="D21" s="55" t="s">
        <v>87</v>
      </c>
      <c r="F21" s="52" t="s">
        <v>163</v>
      </c>
      <c r="G21" s="16" t="s">
        <v>164</v>
      </c>
    </row>
    <row r="22" spans="1:7" ht="50.1" customHeight="1" x14ac:dyDescent="0.15">
      <c r="D22" s="56" t="s">
        <v>115</v>
      </c>
      <c r="F22" s="52" t="s">
        <v>166</v>
      </c>
      <c r="G22" s="16" t="s">
        <v>165</v>
      </c>
    </row>
    <row r="23" spans="1:7" ht="50.1" customHeight="1" x14ac:dyDescent="0.15">
      <c r="D23" s="56" t="s">
        <v>116</v>
      </c>
      <c r="F23" s="52" t="s">
        <v>170</v>
      </c>
      <c r="G23" s="16" t="s">
        <v>169</v>
      </c>
    </row>
    <row r="24" spans="1:7" ht="50.1" customHeight="1" x14ac:dyDescent="0.15">
      <c r="D24" s="55" t="s">
        <v>117</v>
      </c>
      <c r="F24" s="52" t="s">
        <v>172</v>
      </c>
      <c r="G24" s="16" t="s">
        <v>171</v>
      </c>
    </row>
    <row r="25" spans="1:7" ht="50.1" customHeight="1" x14ac:dyDescent="0.15">
      <c r="D25" s="56" t="s">
        <v>118</v>
      </c>
      <c r="F25" s="52" t="s">
        <v>174</v>
      </c>
      <c r="G25" s="16" t="s">
        <v>173</v>
      </c>
    </row>
    <row r="26" spans="1:7" ht="50.1" customHeight="1" x14ac:dyDescent="0.15">
      <c r="D26" s="55" t="s">
        <v>119</v>
      </c>
      <c r="F26" s="52" t="s">
        <v>168</v>
      </c>
      <c r="G26" s="16" t="s">
        <v>167</v>
      </c>
    </row>
    <row r="27" spans="1:7" ht="50.1" customHeight="1" x14ac:dyDescent="0.15">
      <c r="D27" s="57" t="s">
        <v>120</v>
      </c>
      <c r="F27" s="52" t="s">
        <v>176</v>
      </c>
      <c r="G27" s="16" t="s">
        <v>175</v>
      </c>
    </row>
    <row r="28" spans="1:7" ht="50.1" customHeight="1" x14ac:dyDescent="0.15">
      <c r="D28" s="56" t="s">
        <v>121</v>
      </c>
      <c r="F28" s="52" t="s">
        <v>176</v>
      </c>
      <c r="G28" s="16" t="s">
        <v>177</v>
      </c>
    </row>
    <row r="29" spans="1:7" ht="50.1" customHeight="1" x14ac:dyDescent="0.15">
      <c r="D29" s="55" t="s">
        <v>88</v>
      </c>
      <c r="F29" s="52" t="s">
        <v>178</v>
      </c>
      <c r="G29" s="16" t="s">
        <v>179</v>
      </c>
    </row>
    <row r="30" spans="1:7" ht="50.1" customHeight="1" x14ac:dyDescent="0.15">
      <c r="D30" s="56" t="s">
        <v>122</v>
      </c>
      <c r="F30" s="52" t="s">
        <v>183</v>
      </c>
      <c r="G30" s="16" t="s">
        <v>182</v>
      </c>
    </row>
    <row r="31" spans="1:7" ht="50.1" customHeight="1" x14ac:dyDescent="0.15">
      <c r="D31" s="56" t="s">
        <v>123</v>
      </c>
      <c r="F31" s="52" t="s">
        <v>184</v>
      </c>
      <c r="G31" s="16" t="s">
        <v>185</v>
      </c>
    </row>
    <row r="32" spans="1:7" ht="50.1" customHeight="1" x14ac:dyDescent="0.15">
      <c r="D32" s="56" t="s">
        <v>186</v>
      </c>
      <c r="F32" s="52" t="s">
        <v>242</v>
      </c>
      <c r="G32" s="16" t="s">
        <v>241</v>
      </c>
    </row>
    <row r="33" spans="4:7" ht="50.1" customHeight="1" x14ac:dyDescent="0.15">
      <c r="D33" s="57" t="s">
        <v>187</v>
      </c>
      <c r="F33" s="52" t="s">
        <v>228</v>
      </c>
      <c r="G33" s="16" t="s">
        <v>227</v>
      </c>
    </row>
    <row r="34" spans="4:7" ht="50.1" customHeight="1" x14ac:dyDescent="0.15">
      <c r="D34" s="56" t="s">
        <v>188</v>
      </c>
      <c r="F34" s="52" t="s">
        <v>233</v>
      </c>
      <c r="G34" s="16" t="s">
        <v>234</v>
      </c>
    </row>
    <row r="35" spans="4:7" ht="50.1" customHeight="1" x14ac:dyDescent="0.15">
      <c r="D35" s="55" t="s">
        <v>189</v>
      </c>
      <c r="F35" s="52" t="s">
        <v>237</v>
      </c>
      <c r="G35" s="16" t="s">
        <v>238</v>
      </c>
    </row>
    <row r="36" spans="4:7" ht="50.1" customHeight="1" x14ac:dyDescent="0.15">
      <c r="D36" s="55" t="s">
        <v>89</v>
      </c>
      <c r="F36" s="52" t="s">
        <v>180</v>
      </c>
      <c r="G36" s="16" t="s">
        <v>181</v>
      </c>
    </row>
    <row r="37" spans="4:7" ht="50.1" customHeight="1" x14ac:dyDescent="0.15">
      <c r="D37" s="56" t="s">
        <v>190</v>
      </c>
      <c r="F37" s="53" t="s">
        <v>225</v>
      </c>
      <c r="G37" s="16" t="s">
        <v>226</v>
      </c>
    </row>
    <row r="38" spans="4:7" ht="50.1" customHeight="1" x14ac:dyDescent="0.15">
      <c r="D38" s="57" t="s">
        <v>90</v>
      </c>
      <c r="F38" s="52" t="s">
        <v>295</v>
      </c>
      <c r="G38" s="16" t="s">
        <v>294</v>
      </c>
    </row>
    <row r="39" spans="4:7" ht="50.1" customHeight="1" x14ac:dyDescent="0.15">
      <c r="D39" s="55" t="s">
        <v>191</v>
      </c>
      <c r="F39" s="53" t="s">
        <v>293</v>
      </c>
      <c r="G39" s="16" t="s">
        <v>292</v>
      </c>
    </row>
    <row r="40" spans="4:7" ht="50.1" customHeight="1" x14ac:dyDescent="0.15">
      <c r="D40" s="55" t="s">
        <v>192</v>
      </c>
      <c r="F40" s="53" t="s">
        <v>231</v>
      </c>
      <c r="G40" s="16" t="s">
        <v>232</v>
      </c>
    </row>
    <row r="41" spans="4:7" ht="50.1" customHeight="1" x14ac:dyDescent="0.15">
      <c r="D41" s="56" t="s">
        <v>193</v>
      </c>
      <c r="F41" s="53" t="s">
        <v>236</v>
      </c>
      <c r="G41" s="16" t="s">
        <v>235</v>
      </c>
    </row>
    <row r="42" spans="4:7" ht="50.1" customHeight="1" x14ac:dyDescent="0.15">
      <c r="D42" s="56" t="s">
        <v>194</v>
      </c>
      <c r="F42" s="52" t="s">
        <v>224</v>
      </c>
      <c r="G42" s="16" t="s">
        <v>223</v>
      </c>
    </row>
    <row r="43" spans="4:7" ht="50.1" customHeight="1" x14ac:dyDescent="0.15">
      <c r="D43" s="56" t="s">
        <v>195</v>
      </c>
      <c r="F43" s="52" t="s">
        <v>259</v>
      </c>
      <c r="G43" s="16" t="s">
        <v>258</v>
      </c>
    </row>
    <row r="44" spans="4:7" ht="50.1" customHeight="1" x14ac:dyDescent="0.15">
      <c r="D44" s="55" t="s">
        <v>196</v>
      </c>
      <c r="F44" s="53" t="s">
        <v>279</v>
      </c>
      <c r="G44" s="16" t="s">
        <v>278</v>
      </c>
    </row>
    <row r="45" spans="4:7" ht="50.1" customHeight="1" x14ac:dyDescent="0.15">
      <c r="D45" s="57" t="s">
        <v>197</v>
      </c>
      <c r="F45" s="52" t="s">
        <v>284</v>
      </c>
      <c r="G45" s="16" t="s">
        <v>283</v>
      </c>
    </row>
    <row r="46" spans="4:7" ht="50.1" customHeight="1" x14ac:dyDescent="0.15">
      <c r="D46" s="55" t="s">
        <v>91</v>
      </c>
      <c r="F46" s="52" t="s">
        <v>285</v>
      </c>
      <c r="G46" s="16" t="s">
        <v>280</v>
      </c>
    </row>
    <row r="47" spans="4:7" ht="50.1" customHeight="1" x14ac:dyDescent="0.15">
      <c r="D47" s="55" t="s">
        <v>198</v>
      </c>
      <c r="F47" s="52" t="s">
        <v>282</v>
      </c>
      <c r="G47" s="16" t="s">
        <v>281</v>
      </c>
    </row>
    <row r="48" spans="4:7" ht="50.1" customHeight="1" x14ac:dyDescent="0.15">
      <c r="D48" s="56" t="s">
        <v>199</v>
      </c>
      <c r="F48" s="53" t="s">
        <v>248</v>
      </c>
      <c r="G48" s="16" t="s">
        <v>247</v>
      </c>
    </row>
    <row r="49" spans="4:7" ht="50.1" customHeight="1" x14ac:dyDescent="0.15">
      <c r="D49" s="56" t="s">
        <v>200</v>
      </c>
      <c r="F49" s="52" t="s">
        <v>252</v>
      </c>
      <c r="G49" s="16" t="s">
        <v>251</v>
      </c>
    </row>
    <row r="50" spans="4:7" ht="50.1" customHeight="1" x14ac:dyDescent="0.15">
      <c r="D50" s="55" t="s">
        <v>92</v>
      </c>
      <c r="F50" s="53" t="s">
        <v>268</v>
      </c>
      <c r="G50" s="16" t="s">
        <v>269</v>
      </c>
    </row>
    <row r="51" spans="4:7" ht="50.1" customHeight="1" x14ac:dyDescent="0.15">
      <c r="D51" s="56" t="s">
        <v>201</v>
      </c>
      <c r="F51" s="52" t="s">
        <v>246</v>
      </c>
      <c r="G51" s="16" t="s">
        <v>245</v>
      </c>
    </row>
    <row r="52" spans="4:7" ht="50.1" customHeight="1" x14ac:dyDescent="0.15">
      <c r="D52" s="56" t="s">
        <v>202</v>
      </c>
      <c r="F52" s="53" t="s">
        <v>266</v>
      </c>
      <c r="G52" s="16" t="s">
        <v>267</v>
      </c>
    </row>
    <row r="53" spans="4:7" ht="50.1" customHeight="1" x14ac:dyDescent="0.15">
      <c r="D53" s="56" t="s">
        <v>203</v>
      </c>
      <c r="F53" s="53" t="s">
        <v>287</v>
      </c>
      <c r="G53" s="16" t="s">
        <v>286</v>
      </c>
    </row>
    <row r="54" spans="4:7" ht="50.1" customHeight="1" x14ac:dyDescent="0.15">
      <c r="D54" s="57" t="s">
        <v>204</v>
      </c>
      <c r="F54" s="53" t="s">
        <v>291</v>
      </c>
      <c r="G54" s="16" t="s">
        <v>290</v>
      </c>
    </row>
    <row r="55" spans="4:7" ht="50.1" customHeight="1" x14ac:dyDescent="0.15">
      <c r="D55" s="57" t="s">
        <v>205</v>
      </c>
      <c r="F55" s="53" t="s">
        <v>289</v>
      </c>
      <c r="G55" s="16" t="s">
        <v>288</v>
      </c>
    </row>
    <row r="56" spans="4:7" ht="50.1" customHeight="1" x14ac:dyDescent="0.15">
      <c r="D56" s="56" t="s">
        <v>206</v>
      </c>
      <c r="F56" s="52" t="s">
        <v>239</v>
      </c>
      <c r="G56" s="16" t="s">
        <v>240</v>
      </c>
    </row>
    <row r="57" spans="4:7" ht="50.1" customHeight="1" x14ac:dyDescent="0.15">
      <c r="D57" s="56" t="s">
        <v>207</v>
      </c>
      <c r="F57" s="52" t="s">
        <v>254</v>
      </c>
      <c r="G57" s="16" t="s">
        <v>253</v>
      </c>
    </row>
    <row r="58" spans="4:7" ht="50.1" customHeight="1" x14ac:dyDescent="0.15">
      <c r="D58" s="57" t="s">
        <v>93</v>
      </c>
      <c r="F58" s="52" t="s">
        <v>243</v>
      </c>
      <c r="G58" s="16" t="s">
        <v>244</v>
      </c>
    </row>
    <row r="59" spans="4:7" ht="50.1" customHeight="1" x14ac:dyDescent="0.15">
      <c r="D59" s="55" t="s">
        <v>94</v>
      </c>
      <c r="F59" s="52" t="s">
        <v>276</v>
      </c>
      <c r="G59" s="16" t="s">
        <v>277</v>
      </c>
    </row>
    <row r="60" spans="4:7" ht="50.1" customHeight="1" x14ac:dyDescent="0.15">
      <c r="D60" s="55" t="s">
        <v>208</v>
      </c>
      <c r="F60" s="52" t="s">
        <v>275</v>
      </c>
      <c r="G60" s="16" t="s">
        <v>274</v>
      </c>
    </row>
    <row r="61" spans="4:7" ht="50.1" customHeight="1" x14ac:dyDescent="0.15">
      <c r="D61" s="56" t="s">
        <v>209</v>
      </c>
      <c r="F61" s="52" t="s">
        <v>273</v>
      </c>
      <c r="G61" s="16" t="s">
        <v>272</v>
      </c>
    </row>
    <row r="62" spans="4:7" ht="50.1" customHeight="1" x14ac:dyDescent="0.15">
      <c r="D62" s="55" t="s">
        <v>210</v>
      </c>
      <c r="F62" s="52" t="s">
        <v>260</v>
      </c>
      <c r="G62" s="16" t="s">
        <v>261</v>
      </c>
    </row>
    <row r="63" spans="4:7" ht="50.1" customHeight="1" x14ac:dyDescent="0.15">
      <c r="D63" s="56" t="s">
        <v>211</v>
      </c>
      <c r="F63" s="52" t="s">
        <v>263</v>
      </c>
      <c r="G63" s="16" t="s">
        <v>262</v>
      </c>
    </row>
    <row r="64" spans="4:7" ht="50.1" customHeight="1" x14ac:dyDescent="0.15">
      <c r="D64" s="55" t="s">
        <v>95</v>
      </c>
      <c r="F64" s="52" t="s">
        <v>271</v>
      </c>
      <c r="G64" s="16" t="s">
        <v>270</v>
      </c>
    </row>
    <row r="65" spans="4:7" ht="50.1" customHeight="1" x14ac:dyDescent="0.15">
      <c r="D65" s="55" t="s">
        <v>212</v>
      </c>
      <c r="F65" s="52" t="s">
        <v>264</v>
      </c>
      <c r="G65" s="16" t="s">
        <v>265</v>
      </c>
    </row>
    <row r="66" spans="4:7" ht="50.1" customHeight="1" x14ac:dyDescent="0.15">
      <c r="D66" s="55" t="s">
        <v>213</v>
      </c>
      <c r="F66" s="52" t="s">
        <v>249</v>
      </c>
      <c r="G66" s="16" t="s">
        <v>250</v>
      </c>
    </row>
    <row r="67" spans="4:7" ht="50.1" customHeight="1" x14ac:dyDescent="0.15">
      <c r="D67" s="57" t="s">
        <v>256</v>
      </c>
      <c r="F67" s="52" t="s">
        <v>257</v>
      </c>
      <c r="G67" s="16" t="s">
        <v>255</v>
      </c>
    </row>
    <row r="68" spans="4:7" ht="50.1" customHeight="1" x14ac:dyDescent="0.15">
      <c r="D68" s="55" t="s">
        <v>124</v>
      </c>
      <c r="F68" s="52" t="s">
        <v>230</v>
      </c>
      <c r="G68" s="16" t="s">
        <v>229</v>
      </c>
    </row>
    <row r="69" spans="4:7" ht="50.1" customHeight="1" x14ac:dyDescent="0.15">
      <c r="D69" s="55" t="s">
        <v>316</v>
      </c>
      <c r="F69" s="52" t="s">
        <v>356</v>
      </c>
      <c r="G69" s="16" t="s">
        <v>355</v>
      </c>
    </row>
    <row r="70" spans="4:7" ht="50.1" customHeight="1" x14ac:dyDescent="0.15">
      <c r="D70" s="56" t="s">
        <v>76</v>
      </c>
      <c r="F70" s="52" t="s">
        <v>78</v>
      </c>
      <c r="G70" s="16" t="s">
        <v>77</v>
      </c>
    </row>
    <row r="71" spans="4:7" ht="50.1" customHeight="1" x14ac:dyDescent="0.15">
      <c r="D71" s="56" t="s">
        <v>317</v>
      </c>
      <c r="F71" s="52" t="s">
        <v>358</v>
      </c>
      <c r="G71" s="16" t="s">
        <v>357</v>
      </c>
    </row>
    <row r="72" spans="4:7" ht="50.1" customHeight="1" x14ac:dyDescent="0.15">
      <c r="D72" s="55" t="s">
        <v>318</v>
      </c>
      <c r="F72" s="52" t="s">
        <v>365</v>
      </c>
      <c r="G72" s="16" t="s">
        <v>366</v>
      </c>
    </row>
    <row r="73" spans="4:7" ht="50.1" customHeight="1" x14ac:dyDescent="0.15">
      <c r="D73" s="56" t="s">
        <v>319</v>
      </c>
      <c r="F73" s="58" t="s">
        <v>380</v>
      </c>
      <c r="G73" s="16" t="s">
        <v>379</v>
      </c>
    </row>
    <row r="74" spans="4:7" ht="50.1" customHeight="1" x14ac:dyDescent="0.15">
      <c r="D74" s="55" t="s">
        <v>320</v>
      </c>
      <c r="F74" s="53" t="s">
        <v>382</v>
      </c>
      <c r="G74" s="16" t="s">
        <v>381</v>
      </c>
    </row>
    <row r="75" spans="4:7" ht="50.1" customHeight="1" x14ac:dyDescent="0.15">
      <c r="D75" s="56" t="s">
        <v>321</v>
      </c>
      <c r="F75" s="52" t="s">
        <v>364</v>
      </c>
      <c r="G75" s="16" t="s">
        <v>363</v>
      </c>
    </row>
    <row r="76" spans="4:7" ht="50.1" customHeight="1" x14ac:dyDescent="0.15">
      <c r="D76" s="55" t="s">
        <v>322</v>
      </c>
      <c r="F76" s="52" t="s">
        <v>368</v>
      </c>
      <c r="G76" s="16" t="s">
        <v>367</v>
      </c>
    </row>
    <row r="77" spans="4:7" ht="50.1" customHeight="1" x14ac:dyDescent="0.15">
      <c r="D77" s="55" t="s">
        <v>96</v>
      </c>
      <c r="F77" s="52" t="s">
        <v>297</v>
      </c>
      <c r="G77" s="16" t="s">
        <v>296</v>
      </c>
    </row>
    <row r="78" spans="4:7" ht="50.1" customHeight="1" x14ac:dyDescent="0.15">
      <c r="D78" s="56" t="s">
        <v>97</v>
      </c>
      <c r="F78" s="52" t="s">
        <v>423</v>
      </c>
      <c r="G78" s="16" t="s">
        <v>422</v>
      </c>
    </row>
    <row r="79" spans="4:7" ht="50.1" customHeight="1" x14ac:dyDescent="0.15">
      <c r="D79" s="56" t="s">
        <v>323</v>
      </c>
      <c r="F79" s="52" t="s">
        <v>421</v>
      </c>
      <c r="G79" s="16" t="s">
        <v>420</v>
      </c>
    </row>
    <row r="80" spans="4:7" ht="50.1" customHeight="1" x14ac:dyDescent="0.15">
      <c r="D80" s="57" t="s">
        <v>406</v>
      </c>
      <c r="F80" s="52" t="s">
        <v>408</v>
      </c>
      <c r="G80" s="16" t="s">
        <v>407</v>
      </c>
    </row>
    <row r="81" spans="4:7" ht="50.1" customHeight="1" x14ac:dyDescent="0.15">
      <c r="D81" s="56" t="s">
        <v>324</v>
      </c>
      <c r="F81" s="53" t="s">
        <v>424</v>
      </c>
      <c r="G81" s="16" t="s">
        <v>409</v>
      </c>
    </row>
    <row r="82" spans="4:7" ht="50.1" customHeight="1" x14ac:dyDescent="0.15">
      <c r="D82" s="55" t="s">
        <v>395</v>
      </c>
      <c r="F82" s="53" t="s">
        <v>397</v>
      </c>
      <c r="G82" s="16" t="s">
        <v>396</v>
      </c>
    </row>
    <row r="83" spans="4:7" ht="50.1" customHeight="1" x14ac:dyDescent="0.15">
      <c r="D83" s="55" t="s">
        <v>325</v>
      </c>
      <c r="F83" s="53" t="s">
        <v>386</v>
      </c>
      <c r="G83" s="16" t="s">
        <v>385</v>
      </c>
    </row>
    <row r="84" spans="4:7" ht="50.1" customHeight="1" x14ac:dyDescent="0.15">
      <c r="D84" s="57" t="s">
        <v>326</v>
      </c>
      <c r="F84" s="52" t="s">
        <v>360</v>
      </c>
      <c r="G84" s="16" t="s">
        <v>359</v>
      </c>
    </row>
    <row r="85" spans="4:7" ht="50.1" customHeight="1" x14ac:dyDescent="0.15">
      <c r="D85" s="56" t="s">
        <v>327</v>
      </c>
      <c r="F85" s="52" t="s">
        <v>418</v>
      </c>
      <c r="G85" s="16" t="s">
        <v>419</v>
      </c>
    </row>
    <row r="86" spans="4:7" ht="50.1" customHeight="1" x14ac:dyDescent="0.15">
      <c r="D86" s="56" t="s">
        <v>328</v>
      </c>
      <c r="F86" s="53" t="s">
        <v>411</v>
      </c>
      <c r="G86" s="16" t="s">
        <v>410</v>
      </c>
    </row>
    <row r="87" spans="4:7" ht="50.1" customHeight="1" x14ac:dyDescent="0.15">
      <c r="D87" s="55" t="s">
        <v>329</v>
      </c>
      <c r="F87" s="52" t="s">
        <v>448</v>
      </c>
      <c r="G87" s="16" t="s">
        <v>447</v>
      </c>
    </row>
    <row r="88" spans="4:7" ht="50.1" customHeight="1" x14ac:dyDescent="0.15">
      <c r="D88" s="56" t="s">
        <v>330</v>
      </c>
      <c r="F88" s="52" t="s">
        <v>444</v>
      </c>
      <c r="G88" s="16" t="s">
        <v>443</v>
      </c>
    </row>
    <row r="89" spans="4:7" ht="50.1" customHeight="1" x14ac:dyDescent="0.15">
      <c r="D89" s="56" t="s">
        <v>331</v>
      </c>
      <c r="F89" s="52" t="s">
        <v>384</v>
      </c>
      <c r="G89" s="16" t="s">
        <v>383</v>
      </c>
    </row>
    <row r="90" spans="4:7" ht="50.1" customHeight="1" x14ac:dyDescent="0.15">
      <c r="D90" s="56" t="s">
        <v>332</v>
      </c>
      <c r="F90" s="52" t="s">
        <v>446</v>
      </c>
      <c r="G90" s="16" t="s">
        <v>445</v>
      </c>
    </row>
    <row r="91" spans="4:7" ht="50.1" customHeight="1" x14ac:dyDescent="0.15">
      <c r="D91" s="55" t="s">
        <v>333</v>
      </c>
      <c r="F91" s="52" t="s">
        <v>450</v>
      </c>
      <c r="G91" s="16" t="s">
        <v>449</v>
      </c>
    </row>
    <row r="92" spans="4:7" ht="50.1" customHeight="1" x14ac:dyDescent="0.15">
      <c r="D92" s="55" t="s">
        <v>334</v>
      </c>
      <c r="F92" s="52" t="s">
        <v>362</v>
      </c>
      <c r="G92" s="16" t="s">
        <v>361</v>
      </c>
    </row>
    <row r="93" spans="4:7" ht="50.1" customHeight="1" x14ac:dyDescent="0.15">
      <c r="D93" s="56" t="s">
        <v>335</v>
      </c>
      <c r="F93" s="52" t="s">
        <v>442</v>
      </c>
      <c r="G93" s="16" t="s">
        <v>441</v>
      </c>
    </row>
    <row r="94" spans="4:7" ht="50.1" customHeight="1" x14ac:dyDescent="0.15">
      <c r="D94" s="55" t="s">
        <v>298</v>
      </c>
      <c r="F94" s="52" t="s">
        <v>434</v>
      </c>
      <c r="G94" s="16" t="s">
        <v>433</v>
      </c>
    </row>
    <row r="95" spans="4:7" ht="50.1" customHeight="1" x14ac:dyDescent="0.15">
      <c r="D95" s="55" t="s">
        <v>299</v>
      </c>
      <c r="F95" s="52" t="s">
        <v>429</v>
      </c>
      <c r="G95" s="16" t="s">
        <v>430</v>
      </c>
    </row>
    <row r="96" spans="4:7" ht="50.1" customHeight="1" x14ac:dyDescent="0.15">
      <c r="D96" s="57" t="s">
        <v>336</v>
      </c>
      <c r="F96" s="53" t="s">
        <v>394</v>
      </c>
      <c r="G96" s="16" t="s">
        <v>393</v>
      </c>
    </row>
    <row r="97" spans="4:7" ht="50.1" customHeight="1" x14ac:dyDescent="0.15">
      <c r="D97" s="57" t="s">
        <v>300</v>
      </c>
      <c r="F97" s="52" t="s">
        <v>392</v>
      </c>
      <c r="G97" s="16" t="s">
        <v>391</v>
      </c>
    </row>
    <row r="98" spans="4:7" ht="50.1" customHeight="1" x14ac:dyDescent="0.15">
      <c r="D98" s="56" t="s">
        <v>337</v>
      </c>
      <c r="F98" s="52" t="s">
        <v>378</v>
      </c>
      <c r="G98" s="16" t="s">
        <v>377</v>
      </c>
    </row>
    <row r="99" spans="4:7" ht="50.1" customHeight="1" x14ac:dyDescent="0.15">
      <c r="D99" s="55" t="s">
        <v>50</v>
      </c>
      <c r="F99" s="53" t="s">
        <v>41</v>
      </c>
      <c r="G99" s="16" t="s">
        <v>40</v>
      </c>
    </row>
    <row r="100" spans="4:7" ht="50.1" customHeight="1" x14ac:dyDescent="0.15">
      <c r="D100" s="57" t="s">
        <v>301</v>
      </c>
      <c r="F100" s="52" t="s">
        <v>388</v>
      </c>
      <c r="G100" s="16" t="s">
        <v>387</v>
      </c>
    </row>
    <row r="101" spans="4:7" ht="50.1" customHeight="1" x14ac:dyDescent="0.15">
      <c r="D101" s="55" t="s">
        <v>338</v>
      </c>
      <c r="F101" s="52" t="s">
        <v>376</v>
      </c>
      <c r="G101" s="16" t="s">
        <v>375</v>
      </c>
    </row>
    <row r="102" spans="4:7" ht="50.1" customHeight="1" x14ac:dyDescent="0.15">
      <c r="D102" s="55" t="s">
        <v>302</v>
      </c>
      <c r="F102" s="52" t="s">
        <v>390</v>
      </c>
      <c r="G102" s="16" t="s">
        <v>389</v>
      </c>
    </row>
    <row r="103" spans="4:7" ht="50.1" customHeight="1" x14ac:dyDescent="0.15">
      <c r="D103" s="56" t="s">
        <v>339</v>
      </c>
      <c r="F103" s="52" t="s">
        <v>415</v>
      </c>
      <c r="G103" s="16" t="s">
        <v>414</v>
      </c>
    </row>
    <row r="104" spans="4:7" ht="50.1" customHeight="1" x14ac:dyDescent="0.15">
      <c r="D104" s="57" t="s">
        <v>340</v>
      </c>
      <c r="F104" s="52" t="s">
        <v>413</v>
      </c>
      <c r="G104" s="16" t="s">
        <v>412</v>
      </c>
    </row>
    <row r="105" spans="4:7" ht="50.1" customHeight="1" x14ac:dyDescent="0.15">
      <c r="D105" s="55" t="s">
        <v>341</v>
      </c>
      <c r="F105" s="53" t="s">
        <v>397</v>
      </c>
      <c r="G105" s="16" t="s">
        <v>401</v>
      </c>
    </row>
    <row r="106" spans="4:7" ht="50.1" customHeight="1" x14ac:dyDescent="0.15">
      <c r="D106" s="56" t="s">
        <v>303</v>
      </c>
      <c r="F106" s="52" t="s">
        <v>400</v>
      </c>
      <c r="G106" s="16" t="s">
        <v>398</v>
      </c>
    </row>
    <row r="107" spans="4:7" ht="50.1" customHeight="1" x14ac:dyDescent="0.15">
      <c r="D107" s="56" t="s">
        <v>342</v>
      </c>
      <c r="F107" s="52" t="s">
        <v>374</v>
      </c>
      <c r="G107" s="16" t="s">
        <v>373</v>
      </c>
    </row>
    <row r="108" spans="4:7" ht="50.1" customHeight="1" x14ac:dyDescent="0.15">
      <c r="D108" s="56" t="s">
        <v>343</v>
      </c>
      <c r="E108" s="15" t="s">
        <v>500</v>
      </c>
      <c r="F108" s="53" t="s">
        <v>371</v>
      </c>
      <c r="G108" s="16" t="s">
        <v>372</v>
      </c>
    </row>
    <row r="109" spans="4:7" ht="50.1" customHeight="1" x14ac:dyDescent="0.15">
      <c r="D109" s="57" t="s">
        <v>344</v>
      </c>
      <c r="F109" s="52" t="s">
        <v>370</v>
      </c>
      <c r="G109" s="16" t="s">
        <v>369</v>
      </c>
    </row>
    <row r="110" spans="4:7" ht="50.1" customHeight="1" x14ac:dyDescent="0.15">
      <c r="D110" s="55" t="s">
        <v>304</v>
      </c>
      <c r="F110" s="52" t="s">
        <v>426</v>
      </c>
      <c r="G110" s="16" t="s">
        <v>425</v>
      </c>
    </row>
    <row r="111" spans="4:7" ht="50.1" customHeight="1" x14ac:dyDescent="0.15">
      <c r="D111" s="57" t="s">
        <v>345</v>
      </c>
      <c r="F111" s="52" t="s">
        <v>417</v>
      </c>
      <c r="G111" s="16" t="s">
        <v>416</v>
      </c>
    </row>
    <row r="112" spans="4:7" ht="50.1" customHeight="1" x14ac:dyDescent="0.15">
      <c r="D112" s="55" t="s">
        <v>346</v>
      </c>
      <c r="F112" s="53" t="s">
        <v>436</v>
      </c>
      <c r="G112" s="16" t="s">
        <v>435</v>
      </c>
    </row>
    <row r="113" spans="4:7" ht="50.1" customHeight="1" x14ac:dyDescent="0.15">
      <c r="D113" s="55" t="s">
        <v>347</v>
      </c>
      <c r="F113" s="52" t="s">
        <v>457</v>
      </c>
      <c r="G113" s="16" t="s">
        <v>456</v>
      </c>
    </row>
    <row r="114" spans="4:7" ht="50.1" customHeight="1" x14ac:dyDescent="0.15">
      <c r="D114" s="55" t="s">
        <v>348</v>
      </c>
      <c r="F114" s="52" t="s">
        <v>455</v>
      </c>
      <c r="G114" s="16" t="s">
        <v>454</v>
      </c>
    </row>
    <row r="115" spans="4:7" ht="50.1" customHeight="1" x14ac:dyDescent="0.15">
      <c r="D115" s="57" t="s">
        <v>305</v>
      </c>
      <c r="F115" s="52" t="s">
        <v>440</v>
      </c>
      <c r="G115" s="16" t="s">
        <v>439</v>
      </c>
    </row>
    <row r="116" spans="4:7" ht="50.1" customHeight="1" x14ac:dyDescent="0.15">
      <c r="D116" s="56" t="s">
        <v>349</v>
      </c>
      <c r="F116" s="53" t="s">
        <v>438</v>
      </c>
      <c r="G116" s="16" t="s">
        <v>437</v>
      </c>
    </row>
    <row r="117" spans="4:7" ht="50.1" customHeight="1" x14ac:dyDescent="0.15">
      <c r="D117" s="55" t="s">
        <v>350</v>
      </c>
      <c r="F117" s="53" t="s">
        <v>432</v>
      </c>
      <c r="G117" s="16" t="s">
        <v>431</v>
      </c>
    </row>
    <row r="118" spans="4:7" ht="50.1" customHeight="1" x14ac:dyDescent="0.15">
      <c r="D118" s="55" t="s">
        <v>351</v>
      </c>
      <c r="F118" s="52" t="s">
        <v>405</v>
      </c>
      <c r="G118" s="16" t="s">
        <v>404</v>
      </c>
    </row>
    <row r="119" spans="4:7" ht="50.1" customHeight="1" x14ac:dyDescent="0.15">
      <c r="D119" s="55" t="s">
        <v>352</v>
      </c>
      <c r="F119" s="52" t="s">
        <v>452</v>
      </c>
      <c r="G119" s="16" t="s">
        <v>453</v>
      </c>
    </row>
    <row r="120" spans="4:7" ht="50.1" customHeight="1" x14ac:dyDescent="0.15">
      <c r="D120" s="55" t="s">
        <v>353</v>
      </c>
      <c r="F120" s="52" t="s">
        <v>452</v>
      </c>
      <c r="G120" s="16" t="s">
        <v>451</v>
      </c>
    </row>
    <row r="121" spans="4:7" ht="50.1" customHeight="1" x14ac:dyDescent="0.15">
      <c r="D121" s="55" t="s">
        <v>306</v>
      </c>
      <c r="F121" s="52" t="s">
        <v>428</v>
      </c>
      <c r="G121" s="16" t="s">
        <v>427</v>
      </c>
    </row>
    <row r="122" spans="4:7" ht="50.1" customHeight="1" x14ac:dyDescent="0.15">
      <c r="D122" s="56" t="s">
        <v>354</v>
      </c>
      <c r="F122" s="52" t="s">
        <v>403</v>
      </c>
      <c r="G122" s="16" t="s">
        <v>402</v>
      </c>
    </row>
    <row r="123" spans="4:7" ht="50.1" customHeight="1" x14ac:dyDescent="0.15">
      <c r="D123" s="55" t="s">
        <v>463</v>
      </c>
      <c r="F123" s="52" t="s">
        <v>498</v>
      </c>
      <c r="G123" s="16" t="s">
        <v>499</v>
      </c>
    </row>
    <row r="124" spans="4:7" ht="50.1" customHeight="1" x14ac:dyDescent="0.15">
      <c r="D124" s="55" t="s">
        <v>307</v>
      </c>
      <c r="F124" s="53" t="s">
        <v>503</v>
      </c>
      <c r="G124" s="16" t="s">
        <v>504</v>
      </c>
    </row>
    <row r="125" spans="4:7" ht="50.1" customHeight="1" x14ac:dyDescent="0.15">
      <c r="D125" s="55" t="s">
        <v>464</v>
      </c>
      <c r="F125" s="52" t="s">
        <v>506</v>
      </c>
      <c r="G125" s="16" t="s">
        <v>505</v>
      </c>
    </row>
    <row r="126" spans="4:7" ht="50.1" customHeight="1" x14ac:dyDescent="0.15">
      <c r="D126" s="55" t="s">
        <v>465</v>
      </c>
      <c r="F126" s="52" t="s">
        <v>508</v>
      </c>
      <c r="G126" s="16" t="s">
        <v>507</v>
      </c>
    </row>
    <row r="127" spans="4:7" ht="50.1" customHeight="1" x14ac:dyDescent="0.15">
      <c r="D127" s="56" t="s">
        <v>466</v>
      </c>
      <c r="F127" s="52" t="s">
        <v>510</v>
      </c>
      <c r="G127" s="16" t="s">
        <v>509</v>
      </c>
    </row>
    <row r="128" spans="4:7" ht="50.1" customHeight="1" x14ac:dyDescent="0.15">
      <c r="D128" s="55" t="s">
        <v>467</v>
      </c>
      <c r="F128" s="53" t="s">
        <v>512</v>
      </c>
      <c r="G128" s="16" t="s">
        <v>511</v>
      </c>
    </row>
    <row r="129" spans="4:7" ht="50.1" customHeight="1" x14ac:dyDescent="0.15">
      <c r="D129" s="56" t="s">
        <v>468</v>
      </c>
      <c r="F129" s="53" t="s">
        <v>514</v>
      </c>
      <c r="G129" s="16" t="s">
        <v>513</v>
      </c>
    </row>
    <row r="130" spans="4:7" ht="50.1" customHeight="1" x14ac:dyDescent="0.15">
      <c r="D130" s="56" t="s">
        <v>469</v>
      </c>
      <c r="F130" s="52" t="s">
        <v>516</v>
      </c>
      <c r="G130" s="16" t="s">
        <v>515</v>
      </c>
    </row>
    <row r="131" spans="4:7" ht="50.1" customHeight="1" x14ac:dyDescent="0.15">
      <c r="D131" s="55" t="s">
        <v>470</v>
      </c>
      <c r="F131" s="52" t="s">
        <v>518</v>
      </c>
      <c r="G131" s="16" t="s">
        <v>517</v>
      </c>
    </row>
    <row r="132" spans="4:7" ht="50.1" customHeight="1" x14ac:dyDescent="0.15">
      <c r="D132" s="56" t="s">
        <v>471</v>
      </c>
      <c r="F132" s="52" t="s">
        <v>520</v>
      </c>
      <c r="G132" s="16" t="s">
        <v>519</v>
      </c>
    </row>
    <row r="133" spans="4:7" ht="50.1" customHeight="1" x14ac:dyDescent="0.15">
      <c r="D133" s="56" t="s">
        <v>472</v>
      </c>
      <c r="F133" s="53" t="s">
        <v>522</v>
      </c>
      <c r="G133" s="16" t="s">
        <v>521</v>
      </c>
    </row>
    <row r="134" spans="4:7" ht="50.1" customHeight="1" x14ac:dyDescent="0.15">
      <c r="D134" s="56" t="s">
        <v>473</v>
      </c>
      <c r="F134" s="53" t="s">
        <v>524</v>
      </c>
      <c r="G134" s="16" t="s">
        <v>523</v>
      </c>
    </row>
    <row r="135" spans="4:7" ht="50.1" customHeight="1" x14ac:dyDescent="0.15">
      <c r="D135" s="57" t="s">
        <v>474</v>
      </c>
      <c r="F135" s="52" t="s">
        <v>526</v>
      </c>
      <c r="G135" s="16" t="s">
        <v>525</v>
      </c>
    </row>
    <row r="136" spans="4:7" ht="50.1" customHeight="1" x14ac:dyDescent="0.15">
      <c r="D136" s="57" t="s">
        <v>478</v>
      </c>
      <c r="F136" s="53" t="s">
        <v>528</v>
      </c>
      <c r="G136" s="16" t="s">
        <v>527</v>
      </c>
    </row>
    <row r="137" spans="4:7" ht="50.1" customHeight="1" x14ac:dyDescent="0.15">
      <c r="D137" s="55" t="s">
        <v>475</v>
      </c>
      <c r="F137" s="52" t="s">
        <v>532</v>
      </c>
      <c r="G137" s="16" t="s">
        <v>531</v>
      </c>
    </row>
    <row r="138" spans="4:7" ht="50.1" customHeight="1" x14ac:dyDescent="0.15">
      <c r="D138" s="55" t="s">
        <v>476</v>
      </c>
      <c r="F138" s="58" t="s">
        <v>542</v>
      </c>
      <c r="G138" s="16" t="s">
        <v>541</v>
      </c>
    </row>
    <row r="139" spans="4:7" ht="50.1" customHeight="1" x14ac:dyDescent="0.15">
      <c r="D139" s="55" t="s">
        <v>308</v>
      </c>
      <c r="F139" s="52" t="s">
        <v>550</v>
      </c>
      <c r="G139" s="16" t="s">
        <v>549</v>
      </c>
    </row>
    <row r="140" spans="4:7" ht="50.1" customHeight="1" x14ac:dyDescent="0.15">
      <c r="D140" s="56" t="s">
        <v>309</v>
      </c>
      <c r="F140" s="52" t="s">
        <v>562</v>
      </c>
      <c r="G140" s="16" t="s">
        <v>561</v>
      </c>
    </row>
    <row r="141" spans="4:7" ht="50.1" customHeight="1" x14ac:dyDescent="0.15">
      <c r="D141" s="56" t="s">
        <v>477</v>
      </c>
      <c r="F141" s="53" t="s">
        <v>564</v>
      </c>
      <c r="G141" s="16" t="s">
        <v>563</v>
      </c>
    </row>
    <row r="142" spans="4:7" ht="50.1" customHeight="1" x14ac:dyDescent="0.15">
      <c r="D142" s="56" t="s">
        <v>479</v>
      </c>
      <c r="F142" s="52" t="s">
        <v>560</v>
      </c>
      <c r="G142" s="16" t="s">
        <v>559</v>
      </c>
    </row>
    <row r="143" spans="4:7" ht="50.1" customHeight="1" x14ac:dyDescent="0.15">
      <c r="D143" s="56" t="s">
        <v>480</v>
      </c>
      <c r="F143" s="52" t="s">
        <v>479</v>
      </c>
      <c r="G143" s="16" t="s">
        <v>558</v>
      </c>
    </row>
    <row r="144" spans="4:7" ht="50.1" customHeight="1" x14ac:dyDescent="0.15">
      <c r="D144" s="56" t="s">
        <v>481</v>
      </c>
      <c r="F144" s="52" t="s">
        <v>557</v>
      </c>
      <c r="G144" s="16" t="s">
        <v>556</v>
      </c>
    </row>
    <row r="145" spans="4:7" ht="50.1" customHeight="1" x14ac:dyDescent="0.15">
      <c r="D145" s="55" t="s">
        <v>482</v>
      </c>
      <c r="F145" s="53" t="s">
        <v>546</v>
      </c>
      <c r="G145" s="16" t="s">
        <v>545</v>
      </c>
    </row>
    <row r="146" spans="4:7" ht="50.1" customHeight="1" x14ac:dyDescent="0.15">
      <c r="D146" s="55" t="s">
        <v>483</v>
      </c>
      <c r="F146" s="52" t="s">
        <v>544</v>
      </c>
      <c r="G146" s="16" t="s">
        <v>543</v>
      </c>
    </row>
    <row r="147" spans="4:7" ht="50.1" customHeight="1" x14ac:dyDescent="0.15">
      <c r="D147" s="55" t="s">
        <v>310</v>
      </c>
      <c r="F147" s="52" t="s">
        <v>534</v>
      </c>
      <c r="G147" s="16" t="s">
        <v>533</v>
      </c>
    </row>
    <row r="148" spans="4:7" ht="50.1" customHeight="1" x14ac:dyDescent="0.15">
      <c r="D148" s="57" t="s">
        <v>484</v>
      </c>
      <c r="F148" s="53" t="s">
        <v>530</v>
      </c>
      <c r="G148" s="16" t="s">
        <v>529</v>
      </c>
    </row>
    <row r="149" spans="4:7" ht="50.1" customHeight="1" x14ac:dyDescent="0.15">
      <c r="D149" s="57" t="s">
        <v>485</v>
      </c>
      <c r="F149" s="52" t="s">
        <v>555</v>
      </c>
      <c r="G149" s="16" t="s">
        <v>554</v>
      </c>
    </row>
    <row r="150" spans="4:7" ht="50.1" customHeight="1" x14ac:dyDescent="0.15">
      <c r="D150" s="55" t="s">
        <v>486</v>
      </c>
      <c r="F150" s="53" t="s">
        <v>584</v>
      </c>
      <c r="G150" s="16" t="s">
        <v>583</v>
      </c>
    </row>
    <row r="151" spans="4:7" ht="50.1" customHeight="1" x14ac:dyDescent="0.15">
      <c r="D151" s="57" t="s">
        <v>487</v>
      </c>
      <c r="F151" s="53" t="s">
        <v>582</v>
      </c>
      <c r="G151" s="16" t="s">
        <v>581</v>
      </c>
    </row>
    <row r="152" spans="4:7" ht="50.1" customHeight="1" x14ac:dyDescent="0.15">
      <c r="D152" s="55" t="s">
        <v>311</v>
      </c>
      <c r="F152" s="52" t="s">
        <v>580</v>
      </c>
      <c r="G152" s="16" t="s">
        <v>579</v>
      </c>
    </row>
    <row r="153" spans="4:7" ht="50.1" customHeight="1" x14ac:dyDescent="0.15">
      <c r="D153" s="56" t="s">
        <v>312</v>
      </c>
      <c r="F153" s="52" t="s">
        <v>548</v>
      </c>
      <c r="G153" s="16" t="s">
        <v>547</v>
      </c>
    </row>
    <row r="154" spans="4:7" ht="50.1" customHeight="1" x14ac:dyDescent="0.15">
      <c r="D154" s="56" t="s">
        <v>488</v>
      </c>
      <c r="F154" s="52" t="s">
        <v>578</v>
      </c>
      <c r="G154" s="16" t="s">
        <v>577</v>
      </c>
    </row>
    <row r="155" spans="4:7" ht="50.1" customHeight="1" x14ac:dyDescent="0.15">
      <c r="D155" s="55" t="s">
        <v>489</v>
      </c>
      <c r="F155" s="52" t="s">
        <v>538</v>
      </c>
      <c r="G155" s="16" t="s">
        <v>537</v>
      </c>
    </row>
    <row r="156" spans="4:7" ht="50.1" customHeight="1" x14ac:dyDescent="0.15">
      <c r="D156" s="57" t="s">
        <v>490</v>
      </c>
      <c r="F156" s="52" t="s">
        <v>540</v>
      </c>
      <c r="G156" s="16" t="s">
        <v>539</v>
      </c>
    </row>
    <row r="157" spans="4:7" ht="50.1" customHeight="1" x14ac:dyDescent="0.15">
      <c r="D157" s="56" t="s">
        <v>491</v>
      </c>
      <c r="F157" s="52" t="s">
        <v>553</v>
      </c>
      <c r="G157" s="16" t="s">
        <v>552</v>
      </c>
    </row>
    <row r="158" spans="4:7" ht="50.1" customHeight="1" x14ac:dyDescent="0.15">
      <c r="D158" s="56" t="s">
        <v>492</v>
      </c>
      <c r="F158" s="52" t="s">
        <v>576</v>
      </c>
      <c r="G158" s="16" t="s">
        <v>575</v>
      </c>
    </row>
    <row r="159" spans="4:7" ht="50.1" customHeight="1" x14ac:dyDescent="0.15">
      <c r="D159" s="55" t="s">
        <v>313</v>
      </c>
      <c r="F159" s="52" t="s">
        <v>574</v>
      </c>
      <c r="G159" s="16" t="s">
        <v>573</v>
      </c>
    </row>
    <row r="160" spans="4:7" ht="50.1" customHeight="1" x14ac:dyDescent="0.15">
      <c r="D160" s="56" t="s">
        <v>493</v>
      </c>
      <c r="F160" s="53" t="s">
        <v>572</v>
      </c>
      <c r="G160" s="16" t="s">
        <v>571</v>
      </c>
    </row>
    <row r="161" spans="4:7" ht="50.1" customHeight="1" x14ac:dyDescent="0.15">
      <c r="D161" s="55" t="s">
        <v>314</v>
      </c>
      <c r="F161" s="52" t="s">
        <v>566</v>
      </c>
      <c r="G161" s="16" t="s">
        <v>565</v>
      </c>
    </row>
    <row r="162" spans="4:7" ht="50.1" customHeight="1" x14ac:dyDescent="0.15">
      <c r="D162" s="56" t="s">
        <v>494</v>
      </c>
      <c r="F162" s="52" t="s">
        <v>568</v>
      </c>
      <c r="G162" s="16" t="s">
        <v>567</v>
      </c>
    </row>
    <row r="163" spans="4:7" ht="50.1" customHeight="1" x14ac:dyDescent="0.15">
      <c r="D163" s="55" t="s">
        <v>495</v>
      </c>
      <c r="F163" s="59" t="s">
        <v>570</v>
      </c>
      <c r="G163" s="16" t="s">
        <v>569</v>
      </c>
    </row>
    <row r="164" spans="4:7" ht="50.1" customHeight="1" x14ac:dyDescent="0.15">
      <c r="D164" s="56" t="s">
        <v>496</v>
      </c>
      <c r="F164" s="53" t="s">
        <v>514</v>
      </c>
      <c r="G164" s="16" t="s">
        <v>551</v>
      </c>
    </row>
    <row r="165" spans="4:7" ht="50.1" customHeight="1" x14ac:dyDescent="0.15">
      <c r="D165" s="55" t="s">
        <v>315</v>
      </c>
      <c r="F165" s="52" t="s">
        <v>536</v>
      </c>
      <c r="G165" s="16" t="s">
        <v>535</v>
      </c>
    </row>
    <row r="166" spans="4:7" ht="50.1" customHeight="1" x14ac:dyDescent="0.15">
      <c r="D166" s="55" t="s">
        <v>497</v>
      </c>
      <c r="F166" s="52" t="s">
        <v>502</v>
      </c>
      <c r="G166" s="16" t="s">
        <v>501</v>
      </c>
    </row>
    <row r="167" spans="4:7" ht="50.1" customHeight="1" x14ac:dyDescent="0.15">
      <c r="D167" s="57" t="s">
        <v>585</v>
      </c>
      <c r="F167" s="52" t="s">
        <v>632</v>
      </c>
      <c r="G167" s="16" t="s">
        <v>631</v>
      </c>
    </row>
    <row r="168" spans="4:7" ht="50.1" customHeight="1" x14ac:dyDescent="0.15">
      <c r="D168" s="57" t="s">
        <v>586</v>
      </c>
      <c r="F168" s="52" t="s">
        <v>634</v>
      </c>
      <c r="G168" s="16" t="s">
        <v>633</v>
      </c>
    </row>
    <row r="169" spans="4:7" ht="50.1" customHeight="1" x14ac:dyDescent="0.15">
      <c r="D169" s="57" t="s">
        <v>587</v>
      </c>
      <c r="F169" s="52" t="s">
        <v>636</v>
      </c>
      <c r="G169" s="16" t="s">
        <v>635</v>
      </c>
    </row>
    <row r="170" spans="4:7" ht="50.1" customHeight="1" x14ac:dyDescent="0.15">
      <c r="D170" s="57" t="s">
        <v>588</v>
      </c>
      <c r="F170" s="52" t="s">
        <v>648</v>
      </c>
      <c r="G170" s="16" t="s">
        <v>647</v>
      </c>
    </row>
    <row r="171" spans="4:7" ht="50.1" customHeight="1" x14ac:dyDescent="0.15">
      <c r="D171" s="56" t="s">
        <v>589</v>
      </c>
      <c r="F171" s="52" t="s">
        <v>650</v>
      </c>
      <c r="G171" s="16" t="s">
        <v>649</v>
      </c>
    </row>
    <row r="172" spans="4:7" ht="50.1" customHeight="1" x14ac:dyDescent="0.15">
      <c r="D172" s="57" t="s">
        <v>590</v>
      </c>
      <c r="F172" s="52" t="s">
        <v>650</v>
      </c>
      <c r="G172" s="16" t="s">
        <v>651</v>
      </c>
    </row>
    <row r="173" spans="4:7" ht="50.1" customHeight="1" x14ac:dyDescent="0.15">
      <c r="D173" s="56" t="s">
        <v>591</v>
      </c>
      <c r="F173" s="52" t="s">
        <v>657</v>
      </c>
      <c r="G173" s="16" t="s">
        <v>656</v>
      </c>
    </row>
    <row r="174" spans="4:7" ht="50.1" customHeight="1" x14ac:dyDescent="0.15">
      <c r="D174" s="57" t="s">
        <v>592</v>
      </c>
      <c r="F174" s="52" t="s">
        <v>665</v>
      </c>
      <c r="G174" s="16" t="s">
        <v>664</v>
      </c>
    </row>
    <row r="175" spans="4:7" ht="50.1" customHeight="1" x14ac:dyDescent="0.15">
      <c r="D175" s="57" t="s">
        <v>593</v>
      </c>
      <c r="F175" s="52" t="s">
        <v>685</v>
      </c>
      <c r="G175" s="16" t="s">
        <v>684</v>
      </c>
    </row>
    <row r="176" spans="4:7" ht="50.1" customHeight="1" x14ac:dyDescent="0.15">
      <c r="D176" s="57" t="s">
        <v>594</v>
      </c>
      <c r="F176" s="52" t="s">
        <v>687</v>
      </c>
      <c r="G176" s="16" t="s">
        <v>686</v>
      </c>
    </row>
    <row r="177" spans="4:7" ht="50.1" customHeight="1" x14ac:dyDescent="0.15">
      <c r="D177" s="57" t="s">
        <v>595</v>
      </c>
      <c r="F177" s="52" t="s">
        <v>675</v>
      </c>
      <c r="G177" s="16" t="s">
        <v>674</v>
      </c>
    </row>
    <row r="178" spans="4:7" ht="50.1" customHeight="1" x14ac:dyDescent="0.15">
      <c r="D178" s="55" t="s">
        <v>596</v>
      </c>
      <c r="F178" s="52" t="s">
        <v>640</v>
      </c>
      <c r="G178" s="16" t="s">
        <v>639</v>
      </c>
    </row>
    <row r="179" spans="4:7" ht="50.1" customHeight="1" x14ac:dyDescent="0.15">
      <c r="D179" s="56" t="s">
        <v>55</v>
      </c>
      <c r="F179" s="53" t="s">
        <v>56</v>
      </c>
      <c r="G179" s="16" t="s">
        <v>57</v>
      </c>
    </row>
    <row r="180" spans="4:7" ht="50.1" customHeight="1" x14ac:dyDescent="0.15">
      <c r="D180" s="57" t="s">
        <v>597</v>
      </c>
      <c r="F180" s="52" t="s">
        <v>667</v>
      </c>
      <c r="G180" s="16" t="s">
        <v>666</v>
      </c>
    </row>
    <row r="181" spans="4:7" ht="50.1" customHeight="1" x14ac:dyDescent="0.15">
      <c r="D181" s="56" t="s">
        <v>598</v>
      </c>
      <c r="F181" s="52" t="s">
        <v>671</v>
      </c>
      <c r="G181" s="16" t="s">
        <v>670</v>
      </c>
    </row>
    <row r="182" spans="4:7" ht="50.1" customHeight="1" x14ac:dyDescent="0.15">
      <c r="D182" s="56" t="s">
        <v>599</v>
      </c>
      <c r="F182" s="52" t="s">
        <v>693</v>
      </c>
      <c r="G182" s="16" t="s">
        <v>692</v>
      </c>
    </row>
    <row r="183" spans="4:7" ht="50.1" customHeight="1" x14ac:dyDescent="0.15">
      <c r="D183" s="55" t="s">
        <v>600</v>
      </c>
      <c r="F183" s="52" t="s">
        <v>695</v>
      </c>
      <c r="G183" s="16" t="s">
        <v>694</v>
      </c>
    </row>
    <row r="184" spans="4:7" ht="50.1" customHeight="1" x14ac:dyDescent="0.15">
      <c r="D184" s="55" t="s">
        <v>601</v>
      </c>
      <c r="F184" s="52" t="s">
        <v>697</v>
      </c>
      <c r="G184" s="16" t="s">
        <v>696</v>
      </c>
    </row>
    <row r="185" spans="4:7" ht="50.1" customHeight="1" x14ac:dyDescent="0.15">
      <c r="D185" s="55" t="s">
        <v>602</v>
      </c>
      <c r="F185" s="52" t="s">
        <v>706</v>
      </c>
      <c r="G185" s="16" t="s">
        <v>707</v>
      </c>
    </row>
    <row r="186" spans="4:7" ht="50.1" customHeight="1" x14ac:dyDescent="0.15">
      <c r="D186" s="55" t="s">
        <v>603</v>
      </c>
      <c r="F186" s="52" t="s">
        <v>718</v>
      </c>
      <c r="G186" s="16" t="s">
        <v>717</v>
      </c>
    </row>
    <row r="187" spans="4:7" ht="50.1" customHeight="1" x14ac:dyDescent="0.15">
      <c r="D187" s="55" t="s">
        <v>604</v>
      </c>
      <c r="F187" s="52" t="s">
        <v>724</v>
      </c>
      <c r="G187" s="16" t="s">
        <v>723</v>
      </c>
    </row>
    <row r="188" spans="4:7" ht="50.1" customHeight="1" x14ac:dyDescent="0.15">
      <c r="D188" s="56" t="s">
        <v>605</v>
      </c>
      <c r="F188" s="52" t="s">
        <v>726</v>
      </c>
      <c r="G188" s="16" t="s">
        <v>725</v>
      </c>
    </row>
    <row r="189" spans="4:7" ht="50.1" customHeight="1" x14ac:dyDescent="0.15">
      <c r="D189" s="56" t="s">
        <v>606</v>
      </c>
      <c r="F189" s="53" t="s">
        <v>722</v>
      </c>
      <c r="G189" s="16" t="s">
        <v>721</v>
      </c>
    </row>
    <row r="190" spans="4:7" ht="50.1" customHeight="1" x14ac:dyDescent="0.15">
      <c r="D190" s="56" t="s">
        <v>607</v>
      </c>
      <c r="F190" s="52" t="s">
        <v>716</v>
      </c>
      <c r="G190" s="16" t="s">
        <v>715</v>
      </c>
    </row>
    <row r="191" spans="4:7" ht="50.1" customHeight="1" x14ac:dyDescent="0.15">
      <c r="D191" s="56" t="s">
        <v>608</v>
      </c>
      <c r="F191" s="52" t="s">
        <v>699</v>
      </c>
      <c r="G191" s="16" t="s">
        <v>698</v>
      </c>
    </row>
    <row r="192" spans="4:7" ht="50.1" customHeight="1" x14ac:dyDescent="0.15">
      <c r="D192" s="57" t="s">
        <v>609</v>
      </c>
      <c r="F192" s="52" t="s">
        <v>683</v>
      </c>
      <c r="G192" s="16" t="s">
        <v>682</v>
      </c>
    </row>
    <row r="193" spans="4:7" ht="50.1" customHeight="1" x14ac:dyDescent="0.15">
      <c r="D193" s="55" t="s">
        <v>610</v>
      </c>
      <c r="F193" s="52" t="s">
        <v>642</v>
      </c>
      <c r="G193" s="16" t="s">
        <v>641</v>
      </c>
    </row>
    <row r="194" spans="4:7" ht="50.1" customHeight="1" x14ac:dyDescent="0.15">
      <c r="D194" s="57" t="s">
        <v>611</v>
      </c>
      <c r="F194" s="52" t="s">
        <v>669</v>
      </c>
      <c r="G194" s="16" t="s">
        <v>668</v>
      </c>
    </row>
    <row r="195" spans="4:7" ht="50.1" customHeight="1" x14ac:dyDescent="0.15">
      <c r="D195" s="55" t="s">
        <v>612</v>
      </c>
      <c r="F195" s="52" t="s">
        <v>673</v>
      </c>
      <c r="G195" s="16" t="s">
        <v>672</v>
      </c>
    </row>
    <row r="196" spans="4:7" ht="50.1" customHeight="1" x14ac:dyDescent="0.15">
      <c r="D196" s="55" t="s">
        <v>613</v>
      </c>
      <c r="F196" s="52" t="s">
        <v>677</v>
      </c>
      <c r="G196" s="16" t="s">
        <v>676</v>
      </c>
    </row>
    <row r="197" spans="4:7" ht="50.1" customHeight="1" x14ac:dyDescent="0.15">
      <c r="D197" s="55" t="s">
        <v>614</v>
      </c>
      <c r="F197" s="52" t="s">
        <v>679</v>
      </c>
      <c r="G197" s="16" t="s">
        <v>678</v>
      </c>
    </row>
    <row r="198" spans="4:7" ht="50.1" customHeight="1" x14ac:dyDescent="0.15">
      <c r="D198" s="57" t="s">
        <v>615</v>
      </c>
      <c r="F198" s="53" t="s">
        <v>681</v>
      </c>
      <c r="G198" s="16" t="s">
        <v>680</v>
      </c>
    </row>
    <row r="199" spans="4:7" ht="50.1" customHeight="1" x14ac:dyDescent="0.15">
      <c r="D199" s="56" t="s">
        <v>616</v>
      </c>
      <c r="F199" s="52" t="s">
        <v>689</v>
      </c>
      <c r="G199" s="16" t="s">
        <v>688</v>
      </c>
    </row>
    <row r="200" spans="4:7" ht="50.1" customHeight="1" x14ac:dyDescent="0.15">
      <c r="D200" s="57" t="s">
        <v>617</v>
      </c>
      <c r="F200" s="52" t="s">
        <v>701</v>
      </c>
      <c r="G200" s="16" t="s">
        <v>700</v>
      </c>
    </row>
    <row r="201" spans="4:7" ht="50.1" customHeight="1" x14ac:dyDescent="0.15">
      <c r="D201" s="57" t="s">
        <v>618</v>
      </c>
      <c r="F201" s="52" t="s">
        <v>703</v>
      </c>
      <c r="G201" s="16" t="s">
        <v>702</v>
      </c>
    </row>
    <row r="202" spans="4:7" ht="50.1" customHeight="1" x14ac:dyDescent="0.15">
      <c r="D202" s="57" t="s">
        <v>619</v>
      </c>
      <c r="F202" s="52" t="s">
        <v>711</v>
      </c>
      <c r="G202" s="16" t="s">
        <v>710</v>
      </c>
    </row>
    <row r="203" spans="4:7" ht="50.1" customHeight="1" x14ac:dyDescent="0.15">
      <c r="D203" s="56" t="s">
        <v>620</v>
      </c>
      <c r="F203" s="52" t="s">
        <v>709</v>
      </c>
      <c r="G203" s="16" t="s">
        <v>708</v>
      </c>
    </row>
    <row r="204" spans="4:7" ht="50.1" customHeight="1" x14ac:dyDescent="0.15">
      <c r="D204" s="55" t="s">
        <v>621</v>
      </c>
      <c r="F204" s="52" t="s">
        <v>705</v>
      </c>
      <c r="G204" s="16" t="s">
        <v>704</v>
      </c>
    </row>
    <row r="205" spans="4:7" ht="50.1" customHeight="1" x14ac:dyDescent="0.15">
      <c r="D205" s="57" t="s">
        <v>622</v>
      </c>
      <c r="F205" s="52" t="s">
        <v>691</v>
      </c>
      <c r="G205" s="16" t="s">
        <v>690</v>
      </c>
    </row>
    <row r="206" spans="4:7" ht="50.1" customHeight="1" x14ac:dyDescent="0.15">
      <c r="D206" s="57" t="s">
        <v>623</v>
      </c>
      <c r="F206" s="52" t="s">
        <v>658</v>
      </c>
      <c r="G206" s="16" t="s">
        <v>659</v>
      </c>
    </row>
    <row r="207" spans="4:7" ht="50.1" customHeight="1" x14ac:dyDescent="0.15">
      <c r="D207" s="55" t="s">
        <v>624</v>
      </c>
      <c r="F207" s="52" t="s">
        <v>646</v>
      </c>
      <c r="G207" s="16" t="s">
        <v>645</v>
      </c>
    </row>
    <row r="208" spans="4:7" ht="50.1" customHeight="1" x14ac:dyDescent="0.15">
      <c r="D208" s="55" t="s">
        <v>625</v>
      </c>
      <c r="F208" s="52" t="s">
        <v>638</v>
      </c>
      <c r="G208" s="16" t="s">
        <v>637</v>
      </c>
    </row>
    <row r="209" spans="4:7" ht="50.1" customHeight="1" x14ac:dyDescent="0.15">
      <c r="D209" s="57" t="s">
        <v>626</v>
      </c>
      <c r="F209" s="52" t="s">
        <v>655</v>
      </c>
      <c r="G209" s="16" t="s">
        <v>654</v>
      </c>
    </row>
    <row r="210" spans="4:7" ht="50.1" customHeight="1" x14ac:dyDescent="0.15">
      <c r="D210" s="57" t="s">
        <v>627</v>
      </c>
      <c r="F210" s="52" t="s">
        <v>661</v>
      </c>
      <c r="G210" s="16" t="s">
        <v>660</v>
      </c>
    </row>
    <row r="211" spans="4:7" ht="50.1" customHeight="1" x14ac:dyDescent="0.15">
      <c r="D211" s="57" t="s">
        <v>628</v>
      </c>
      <c r="F211" s="52" t="s">
        <v>662</v>
      </c>
      <c r="G211" s="16" t="s">
        <v>663</v>
      </c>
    </row>
    <row r="212" spans="4:7" ht="50.1" customHeight="1" x14ac:dyDescent="0.15">
      <c r="D212" s="57" t="s">
        <v>629</v>
      </c>
      <c r="F212" s="53" t="s">
        <v>653</v>
      </c>
      <c r="G212" s="16" t="s">
        <v>652</v>
      </c>
    </row>
    <row r="213" spans="4:7" ht="50.1" customHeight="1" x14ac:dyDescent="0.15">
      <c r="D213" s="57" t="s">
        <v>630</v>
      </c>
      <c r="F213" s="52" t="s">
        <v>644</v>
      </c>
      <c r="G213" s="16" t="s">
        <v>643</v>
      </c>
    </row>
    <row r="214" spans="4:7" ht="50.1" customHeight="1" x14ac:dyDescent="0.15">
      <c r="D214" s="55" t="s">
        <v>712</v>
      </c>
      <c r="F214" s="52" t="s">
        <v>720</v>
      </c>
      <c r="G214" s="16" t="s">
        <v>719</v>
      </c>
    </row>
    <row r="215" spans="4:7" ht="50.1" customHeight="1" x14ac:dyDescent="0.15">
      <c r="D215" s="55" t="s">
        <v>713</v>
      </c>
      <c r="F215" s="52" t="s">
        <v>728</v>
      </c>
      <c r="G215" s="16" t="s">
        <v>727</v>
      </c>
    </row>
    <row r="216" spans="4:7" ht="50.1" customHeight="1" x14ac:dyDescent="0.15">
      <c r="D216" s="57" t="s">
        <v>714</v>
      </c>
      <c r="F216" s="52" t="s">
        <v>730</v>
      </c>
      <c r="G216" s="16" t="s">
        <v>729</v>
      </c>
    </row>
    <row r="217" spans="4:7" ht="50.1" customHeight="1" x14ac:dyDescent="0.15">
      <c r="D217" s="57" t="s">
        <v>731</v>
      </c>
      <c r="F217" s="53" t="s">
        <v>733</v>
      </c>
      <c r="G217" s="16" t="s">
        <v>732</v>
      </c>
    </row>
    <row r="218" spans="4:7" ht="50.1" customHeight="1" x14ac:dyDescent="0.15">
      <c r="D218" s="56" t="s">
        <v>734</v>
      </c>
      <c r="F218" s="52" t="s">
        <v>774</v>
      </c>
      <c r="G218" s="16" t="s">
        <v>773</v>
      </c>
    </row>
    <row r="219" spans="4:7" ht="50.1" customHeight="1" x14ac:dyDescent="0.15">
      <c r="D219" s="55" t="s">
        <v>735</v>
      </c>
      <c r="F219" s="52" t="s">
        <v>776</v>
      </c>
      <c r="G219" s="16" t="s">
        <v>775</v>
      </c>
    </row>
    <row r="220" spans="4:7" ht="50.1" customHeight="1" x14ac:dyDescent="0.15">
      <c r="D220" s="57" t="s">
        <v>736</v>
      </c>
      <c r="F220" s="52" t="s">
        <v>777</v>
      </c>
      <c r="G220" s="16" t="s">
        <v>778</v>
      </c>
    </row>
    <row r="221" spans="4:7" ht="50.1" customHeight="1" x14ac:dyDescent="0.15">
      <c r="D221" s="55" t="s">
        <v>737</v>
      </c>
      <c r="F221" s="52" t="s">
        <v>786</v>
      </c>
      <c r="G221" s="16" t="s">
        <v>785</v>
      </c>
    </row>
    <row r="222" spans="4:7" ht="50.1" customHeight="1" x14ac:dyDescent="0.15">
      <c r="D222" s="15" t="s">
        <v>738</v>
      </c>
    </row>
    <row r="223" spans="4:7" ht="50.1" customHeight="1" x14ac:dyDescent="0.15">
      <c r="D223" s="15" t="s">
        <v>739</v>
      </c>
    </row>
    <row r="224" spans="4:7" ht="50.1" customHeight="1" x14ac:dyDescent="0.15">
      <c r="D224" s="57" t="s">
        <v>70</v>
      </c>
      <c r="F224" s="52" t="s">
        <v>72</v>
      </c>
      <c r="G224" s="16" t="s">
        <v>71</v>
      </c>
    </row>
    <row r="225" spans="4:7" ht="50.1" customHeight="1" x14ac:dyDescent="0.15">
      <c r="D225" s="15" t="s">
        <v>740</v>
      </c>
    </row>
    <row r="226" spans="4:7" ht="50.1" customHeight="1" x14ac:dyDescent="0.15">
      <c r="D226" s="15" t="s">
        <v>741</v>
      </c>
    </row>
    <row r="227" spans="4:7" ht="50.1" customHeight="1" x14ac:dyDescent="0.15">
      <c r="D227" s="15" t="s">
        <v>742</v>
      </c>
    </row>
    <row r="228" spans="4:7" ht="50.1" customHeight="1" x14ac:dyDescent="0.15">
      <c r="D228" s="15" t="s">
        <v>743</v>
      </c>
    </row>
    <row r="229" spans="4:7" ht="50.1" customHeight="1" x14ac:dyDescent="0.15">
      <c r="D229" s="15" t="s">
        <v>744</v>
      </c>
    </row>
    <row r="230" spans="4:7" ht="50.1" customHeight="1" x14ac:dyDescent="0.15">
      <c r="D230" s="57" t="s">
        <v>745</v>
      </c>
    </row>
    <row r="231" spans="4:7" ht="50.1" customHeight="1" x14ac:dyDescent="0.15">
      <c r="D231" s="57" t="s">
        <v>746</v>
      </c>
      <c r="F231" s="53" t="s">
        <v>784</v>
      </c>
      <c r="G231" s="16" t="s">
        <v>783</v>
      </c>
    </row>
    <row r="232" spans="4:7" ht="50.1" customHeight="1" x14ac:dyDescent="0.15">
      <c r="D232" s="55" t="s">
        <v>747</v>
      </c>
      <c r="F232" s="52" t="s">
        <v>795</v>
      </c>
      <c r="G232" s="16" t="s">
        <v>794</v>
      </c>
    </row>
    <row r="233" spans="4:7" ht="50.1" customHeight="1" x14ac:dyDescent="0.15">
      <c r="D233" s="57" t="s">
        <v>748</v>
      </c>
    </row>
    <row r="234" spans="4:7" ht="50.1" customHeight="1" x14ac:dyDescent="0.15">
      <c r="D234" s="15" t="s">
        <v>749</v>
      </c>
    </row>
    <row r="235" spans="4:7" ht="50.1" customHeight="1" x14ac:dyDescent="0.15">
      <c r="D235" s="55" t="s">
        <v>750</v>
      </c>
    </row>
    <row r="236" spans="4:7" ht="50.1" customHeight="1" x14ac:dyDescent="0.15">
      <c r="D236" s="55" t="s">
        <v>751</v>
      </c>
    </row>
    <row r="237" spans="4:7" ht="50.1" customHeight="1" x14ac:dyDescent="0.15">
      <c r="D237" s="15" t="s">
        <v>752</v>
      </c>
    </row>
    <row r="238" spans="4:7" ht="50.1" customHeight="1" x14ac:dyDescent="0.15">
      <c r="D238" s="57" t="s">
        <v>753</v>
      </c>
      <c r="F238" s="53" t="s">
        <v>793</v>
      </c>
      <c r="G238" s="16" t="s">
        <v>792</v>
      </c>
    </row>
    <row r="239" spans="4:7" ht="50.1" customHeight="1" x14ac:dyDescent="0.15">
      <c r="D239" s="55" t="s">
        <v>754</v>
      </c>
    </row>
    <row r="240" spans="4:7" ht="50.1" customHeight="1" x14ac:dyDescent="0.15">
      <c r="D240" s="55" t="s">
        <v>755</v>
      </c>
    </row>
    <row r="241" spans="4:7" ht="50.1" customHeight="1" x14ac:dyDescent="0.15">
      <c r="D241" s="56" t="s">
        <v>790</v>
      </c>
      <c r="F241" s="52" t="s">
        <v>791</v>
      </c>
      <c r="G241" s="16" t="s">
        <v>789</v>
      </c>
    </row>
    <row r="242" spans="4:7" ht="50.1" customHeight="1" x14ac:dyDescent="0.15">
      <c r="D242" s="57" t="s">
        <v>756</v>
      </c>
      <c r="F242" s="52" t="s">
        <v>782</v>
      </c>
      <c r="G242" s="16" t="s">
        <v>781</v>
      </c>
    </row>
    <row r="243" spans="4:7" ht="50.1" customHeight="1" x14ac:dyDescent="0.15">
      <c r="D243" s="56" t="s">
        <v>757</v>
      </c>
      <c r="F243" s="52" t="s">
        <v>780</v>
      </c>
      <c r="G243" s="16" t="s">
        <v>779</v>
      </c>
    </row>
    <row r="244" spans="4:7" ht="50.1" customHeight="1" x14ac:dyDescent="0.15">
      <c r="D244" s="55" t="s">
        <v>32</v>
      </c>
      <c r="F244" s="52" t="s">
        <v>33</v>
      </c>
      <c r="G244" s="16" t="s">
        <v>34</v>
      </c>
    </row>
    <row r="245" spans="4:7" ht="50.1" customHeight="1" x14ac:dyDescent="0.15">
      <c r="D245" s="15" t="s">
        <v>758</v>
      </c>
    </row>
    <row r="246" spans="4:7" ht="50.1" customHeight="1" x14ac:dyDescent="0.15">
      <c r="D246" s="57" t="s">
        <v>759</v>
      </c>
    </row>
    <row r="247" spans="4:7" ht="50.1" customHeight="1" x14ac:dyDescent="0.15">
      <c r="D247" s="57" t="s">
        <v>760</v>
      </c>
    </row>
    <row r="248" spans="4:7" ht="50.1" customHeight="1" x14ac:dyDescent="0.15">
      <c r="D248" s="57" t="s">
        <v>761</v>
      </c>
    </row>
    <row r="249" spans="4:7" ht="50.1" customHeight="1" x14ac:dyDescent="0.15">
      <c r="D249" s="55" t="s">
        <v>762</v>
      </c>
    </row>
    <row r="250" spans="4:7" ht="50.1" customHeight="1" x14ac:dyDescent="0.15">
      <c r="D250" s="15" t="s">
        <v>763</v>
      </c>
    </row>
    <row r="251" spans="4:7" ht="50.1" customHeight="1" x14ac:dyDescent="0.15">
      <c r="D251" s="15" t="s">
        <v>764</v>
      </c>
    </row>
    <row r="252" spans="4:7" ht="50.1" customHeight="1" x14ac:dyDescent="0.15">
      <c r="D252" s="15" t="s">
        <v>765</v>
      </c>
    </row>
    <row r="253" spans="4:7" ht="50.1" customHeight="1" x14ac:dyDescent="0.15">
      <c r="D253" s="15" t="s">
        <v>766</v>
      </c>
    </row>
    <row r="254" spans="4:7" ht="50.1" customHeight="1" x14ac:dyDescent="0.15">
      <c r="D254" s="15" t="s">
        <v>767</v>
      </c>
    </row>
    <row r="255" spans="4:7" ht="50.1" customHeight="1" x14ac:dyDescent="0.15">
      <c r="D255" s="15" t="s">
        <v>768</v>
      </c>
    </row>
    <row r="256" spans="4:7" ht="50.1" customHeight="1" x14ac:dyDescent="0.15">
      <c r="D256" s="57" t="s">
        <v>769</v>
      </c>
    </row>
    <row r="257" spans="4:7" ht="50.1" customHeight="1" x14ac:dyDescent="0.15">
      <c r="D257" s="15" t="s">
        <v>770</v>
      </c>
    </row>
    <row r="258" spans="4:7" ht="50.1" customHeight="1" x14ac:dyDescent="0.15">
      <c r="D258" s="55" t="s">
        <v>771</v>
      </c>
      <c r="F258" s="52" t="s">
        <v>788</v>
      </c>
      <c r="G258" s="16" t="s">
        <v>787</v>
      </c>
    </row>
    <row r="259" spans="4:7" ht="50.1" customHeight="1" x14ac:dyDescent="0.15">
      <c r="D259" s="55" t="s">
        <v>58</v>
      </c>
      <c r="F259" s="52" t="s">
        <v>59</v>
      </c>
      <c r="G259" s="16" t="s">
        <v>60</v>
      </c>
    </row>
    <row r="260" spans="4:7" ht="50.1" customHeight="1" x14ac:dyDescent="0.15">
      <c r="D260" s="55" t="s">
        <v>772</v>
      </c>
      <c r="F260" s="52" t="s">
        <v>800</v>
      </c>
      <c r="G260" s="16" t="s">
        <v>799</v>
      </c>
    </row>
    <row r="261" spans="4:7" ht="50.1" customHeight="1" x14ac:dyDescent="0.15">
      <c r="D261" s="55" t="s">
        <v>796</v>
      </c>
      <c r="F261" s="52" t="s">
        <v>798</v>
      </c>
      <c r="G261" s="16" t="s">
        <v>797</v>
      </c>
    </row>
    <row r="507" spans="4:5" ht="50.1" customHeight="1" x14ac:dyDescent="0.15">
      <c r="D507" s="4"/>
      <c r="E507" s="4"/>
    </row>
  </sheetData>
  <sortState ref="D1:G507">
    <sortCondition ref="D1:D507"/>
  </sortState>
  <phoneticPr fontId="3" type="noConversion"/>
  <pageMargins left="0.75" right="0.75" top="1" bottom="1" header="0.51111111111111107" footer="0.51111111111111107"/>
  <pageSetup paperSize="9" firstPageNumber="4294963191"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577163-69DE-42DC-B060-05C62B8EC676}">
  <sheetPr codeName="Sheet4"/>
  <dimension ref="A1:G500"/>
  <sheetViews>
    <sheetView tabSelected="1" topLeftCell="A16" zoomScale="85" zoomScaleNormal="85" zoomScaleSheetLayoutView="100" workbookViewId="0">
      <selection activeCell="F22" sqref="F22"/>
    </sheetView>
  </sheetViews>
  <sheetFormatPr defaultColWidth="10.625" defaultRowHeight="50.1" customHeight="1" x14ac:dyDescent="0.15"/>
  <cols>
    <col min="1" max="3" width="10.625" style="1"/>
    <col min="4" max="4" width="30.625" style="15" customWidth="1"/>
    <col min="5" max="5" width="30.625" style="11" customWidth="1"/>
    <col min="6" max="6" width="50.625" style="52" customWidth="1"/>
    <col min="7" max="7" width="200.625" style="14" customWidth="1"/>
    <col min="8" max="16384" width="10.625" style="1"/>
  </cols>
  <sheetData>
    <row r="1" spans="1:7" ht="50.1" customHeight="1" x14ac:dyDescent="0.15">
      <c r="A1" s="23" t="s">
        <v>0</v>
      </c>
      <c r="B1" s="23">
        <f>colorfunction(C1,D1:D500,FALSE)</f>
        <v>1</v>
      </c>
      <c r="C1" s="10"/>
      <c r="G1" s="16"/>
    </row>
    <row r="2" spans="1:7" ht="50.1" customHeight="1" x14ac:dyDescent="0.15">
      <c r="A2" s="23" t="s">
        <v>1</v>
      </c>
      <c r="B2" s="23">
        <f>colorfunction(C2,D1:D500,FALSE)</f>
        <v>0</v>
      </c>
      <c r="C2" s="12"/>
      <c r="D2" s="15" t="s">
        <v>803</v>
      </c>
      <c r="F2" s="52" t="s">
        <v>806</v>
      </c>
      <c r="G2" s="16" t="s">
        <v>805</v>
      </c>
    </row>
    <row r="3" spans="1:7" ht="50.1" customHeight="1" x14ac:dyDescent="0.15">
      <c r="A3" s="23" t="s">
        <v>2</v>
      </c>
      <c r="B3" s="23">
        <f>colorfunction(C3,D1:D500,FALSE)</f>
        <v>0</v>
      </c>
      <c r="C3" s="13"/>
      <c r="D3" s="4" t="s">
        <v>459</v>
      </c>
      <c r="E3" s="17"/>
      <c r="F3" s="52" t="s">
        <v>461</v>
      </c>
      <c r="G3" s="16" t="s">
        <v>460</v>
      </c>
    </row>
    <row r="4" spans="1:7" ht="50.1" customHeight="1" x14ac:dyDescent="0.15">
      <c r="A4" s="23" t="s">
        <v>3</v>
      </c>
      <c r="B4" s="24">
        <f>B1/(B1+B2+B3)</f>
        <v>1</v>
      </c>
      <c r="D4" s="15" t="s">
        <v>801</v>
      </c>
      <c r="F4" s="53" t="s">
        <v>804</v>
      </c>
      <c r="G4" s="16" t="s">
        <v>802</v>
      </c>
    </row>
    <row r="5" spans="1:7" ht="50.1" customHeight="1" x14ac:dyDescent="0.15">
      <c r="A5" s="23" t="s">
        <v>4</v>
      </c>
      <c r="B5" s="24">
        <f>(B1 + B2) / (B1+B2+B3)</f>
        <v>1</v>
      </c>
      <c r="D5" s="15" t="s">
        <v>73</v>
      </c>
      <c r="E5" s="15"/>
      <c r="F5" s="53" t="s">
        <v>75</v>
      </c>
      <c r="G5" s="16" t="s">
        <v>74</v>
      </c>
    </row>
    <row r="6" spans="1:7" ht="50.1" customHeight="1" x14ac:dyDescent="0.15">
      <c r="A6" s="23" t="s">
        <v>5</v>
      </c>
      <c r="B6" s="23">
        <f xml:space="preserve"> B1 + B2 +B3</f>
        <v>1</v>
      </c>
      <c r="D6" s="15" t="s">
        <v>61</v>
      </c>
      <c r="E6" s="15"/>
      <c r="F6" s="53" t="s">
        <v>63</v>
      </c>
      <c r="G6" s="16" t="s">
        <v>62</v>
      </c>
    </row>
    <row r="7" spans="1:7" ht="50.1" customHeight="1" x14ac:dyDescent="0.15">
      <c r="A7" s="23" t="s">
        <v>6</v>
      </c>
      <c r="B7" s="23">
        <f>COUNTA(D1:D500)</f>
        <v>16</v>
      </c>
      <c r="D7" s="15" t="s">
        <v>79</v>
      </c>
      <c r="E7" s="15"/>
      <c r="F7" s="53" t="s">
        <v>81</v>
      </c>
      <c r="G7" s="16" t="s">
        <v>80</v>
      </c>
    </row>
    <row r="8" spans="1:7" ht="50.1" customHeight="1" x14ac:dyDescent="0.15">
      <c r="A8" s="23" t="s">
        <v>7</v>
      </c>
      <c r="B8" s="25">
        <f>B6 / B7</f>
        <v>6.25E-2</v>
      </c>
      <c r="D8" s="15" t="s">
        <v>45</v>
      </c>
      <c r="E8" s="15"/>
      <c r="F8" s="52" t="s">
        <v>47</v>
      </c>
      <c r="G8" s="16" t="s">
        <v>46</v>
      </c>
    </row>
    <row r="9" spans="1:7" ht="50.1" customHeight="1" x14ac:dyDescent="0.15">
      <c r="D9" s="15" t="s">
        <v>52</v>
      </c>
      <c r="E9" s="15"/>
      <c r="F9" s="52" t="s">
        <v>54</v>
      </c>
      <c r="G9" s="16" t="s">
        <v>53</v>
      </c>
    </row>
    <row r="10" spans="1:7" ht="50.1" customHeight="1" x14ac:dyDescent="0.15">
      <c r="D10" s="15" t="s">
        <v>64</v>
      </c>
      <c r="E10" s="15"/>
      <c r="F10" s="52" t="s">
        <v>65</v>
      </c>
      <c r="G10" s="16" t="s">
        <v>66</v>
      </c>
    </row>
    <row r="11" spans="1:7" ht="50.1" customHeight="1" x14ac:dyDescent="0.15">
      <c r="D11" s="15" t="s">
        <v>42</v>
      </c>
      <c r="E11" s="15"/>
      <c r="F11" s="52" t="s">
        <v>44</v>
      </c>
      <c r="G11" s="16" t="s">
        <v>43</v>
      </c>
    </row>
    <row r="12" spans="1:7" ht="50.1" customHeight="1" x14ac:dyDescent="0.15">
      <c r="D12" s="15" t="s">
        <v>38</v>
      </c>
      <c r="E12" s="15"/>
      <c r="F12" s="52" t="s">
        <v>36</v>
      </c>
      <c r="G12" s="16" t="s">
        <v>39</v>
      </c>
    </row>
    <row r="13" spans="1:7" ht="50.1" customHeight="1" x14ac:dyDescent="0.15">
      <c r="D13" s="57" t="s">
        <v>35</v>
      </c>
      <c r="E13" s="15"/>
      <c r="F13" s="52" t="s">
        <v>36</v>
      </c>
      <c r="G13" s="16" t="s">
        <v>37</v>
      </c>
    </row>
    <row r="14" spans="1:7" ht="50.1" customHeight="1" x14ac:dyDescent="0.15">
      <c r="D14" s="15" t="s">
        <v>807</v>
      </c>
      <c r="E14" s="15"/>
      <c r="F14" s="52" t="s">
        <v>809</v>
      </c>
      <c r="G14" s="16" t="s">
        <v>808</v>
      </c>
    </row>
    <row r="15" spans="1:7" ht="50.1" customHeight="1" x14ac:dyDescent="0.15">
      <c r="D15" s="15" t="s">
        <v>82</v>
      </c>
      <c r="E15" s="15"/>
      <c r="F15" s="52" t="s">
        <v>84</v>
      </c>
      <c r="G15" s="16" t="s">
        <v>83</v>
      </c>
    </row>
    <row r="16" spans="1:7" ht="50.1" customHeight="1" x14ac:dyDescent="0.15">
      <c r="E16" s="15"/>
      <c r="G16" s="16"/>
    </row>
    <row r="17" spans="4:7" ht="50.1" customHeight="1" x14ac:dyDescent="0.15">
      <c r="E17" s="15"/>
      <c r="G17" s="16"/>
    </row>
    <row r="18" spans="4:7" ht="50.1" customHeight="1" x14ac:dyDescent="0.15">
      <c r="E18" s="15"/>
      <c r="G18" s="16"/>
    </row>
    <row r="19" spans="4:7" ht="50.1" customHeight="1" x14ac:dyDescent="0.15">
      <c r="E19" s="15"/>
      <c r="G19" s="16"/>
    </row>
    <row r="20" spans="4:7" ht="50.1" customHeight="1" x14ac:dyDescent="0.15">
      <c r="E20" s="15"/>
      <c r="G20" s="16"/>
    </row>
    <row r="21" spans="4:7" ht="50.1" customHeight="1" x14ac:dyDescent="0.15">
      <c r="E21" s="15"/>
      <c r="G21" s="16"/>
    </row>
    <row r="22" spans="4:7" ht="50.1" customHeight="1" x14ac:dyDescent="0.15">
      <c r="E22" s="15"/>
      <c r="G22" s="16"/>
    </row>
    <row r="23" spans="4:7" ht="50.1" customHeight="1" x14ac:dyDescent="0.15">
      <c r="E23" s="15"/>
      <c r="G23" s="16"/>
    </row>
    <row r="24" spans="4:7" ht="50.1" customHeight="1" x14ac:dyDescent="0.15">
      <c r="D24" s="15" t="s">
        <v>67</v>
      </c>
      <c r="E24" s="15"/>
      <c r="F24" s="52" t="s">
        <v>69</v>
      </c>
      <c r="G24" s="16" t="s">
        <v>68</v>
      </c>
    </row>
    <row r="25" spans="4:7" ht="50.1" customHeight="1" x14ac:dyDescent="0.15">
      <c r="G25" s="16"/>
    </row>
    <row r="26" spans="4:7" ht="50.1" customHeight="1" x14ac:dyDescent="0.15">
      <c r="D26" s="15" t="s">
        <v>462</v>
      </c>
      <c r="F26" s="52" t="s">
        <v>811</v>
      </c>
      <c r="G26" s="16" t="s">
        <v>810</v>
      </c>
    </row>
    <row r="27" spans="4:7" ht="50.1" customHeight="1" x14ac:dyDescent="0.15">
      <c r="D27" s="4"/>
      <c r="E27" s="17"/>
      <c r="G27" s="16"/>
    </row>
    <row r="28" spans="4:7" ht="50.1" customHeight="1" x14ac:dyDescent="0.15">
      <c r="D28" s="4"/>
      <c r="E28" s="17"/>
      <c r="G28" s="16"/>
    </row>
    <row r="29" spans="4:7" ht="50.1" customHeight="1" x14ac:dyDescent="0.15">
      <c r="G29" s="16"/>
    </row>
    <row r="30" spans="4:7" ht="50.1" customHeight="1" x14ac:dyDescent="0.15">
      <c r="D30" s="4"/>
      <c r="E30" s="17"/>
      <c r="G30" s="16"/>
    </row>
    <row r="31" spans="4:7" ht="50.1" customHeight="1" x14ac:dyDescent="0.15">
      <c r="G31" s="16"/>
    </row>
    <row r="32" spans="4:7" ht="50.1" customHeight="1" x14ac:dyDescent="0.15">
      <c r="G32" s="16"/>
    </row>
    <row r="33" spans="4:7" ht="50.1" customHeight="1" x14ac:dyDescent="0.15">
      <c r="G33" s="16"/>
    </row>
    <row r="34" spans="4:7" ht="50.1" customHeight="1" x14ac:dyDescent="0.15">
      <c r="G34" s="16"/>
    </row>
    <row r="35" spans="4:7" ht="50.1" customHeight="1" x14ac:dyDescent="0.15">
      <c r="G35" s="16"/>
    </row>
    <row r="36" spans="4:7" ht="50.1" customHeight="1" x14ac:dyDescent="0.15">
      <c r="G36" s="16"/>
    </row>
    <row r="37" spans="4:7" ht="50.1" customHeight="1" x14ac:dyDescent="0.15">
      <c r="D37" s="4"/>
      <c r="E37" s="17"/>
      <c r="G37" s="16"/>
    </row>
    <row r="38" spans="4:7" ht="50.1" customHeight="1" x14ac:dyDescent="0.15">
      <c r="G38" s="16"/>
    </row>
    <row r="39" spans="4:7" ht="50.1" customHeight="1" x14ac:dyDescent="0.15">
      <c r="G39" s="16"/>
    </row>
    <row r="40" spans="4:7" ht="50.1" customHeight="1" x14ac:dyDescent="0.15">
      <c r="G40" s="16"/>
    </row>
    <row r="41" spans="4:7" ht="50.1" customHeight="1" x14ac:dyDescent="0.15">
      <c r="G41" s="16"/>
    </row>
    <row r="42" spans="4:7" ht="50.1" customHeight="1" x14ac:dyDescent="0.15">
      <c r="D42" s="4"/>
      <c r="E42" s="17"/>
      <c r="G42" s="16"/>
    </row>
    <row r="43" spans="4:7" ht="50.1" customHeight="1" x14ac:dyDescent="0.15">
      <c r="G43" s="16"/>
    </row>
    <row r="44" spans="4:7" ht="50.1" customHeight="1" x14ac:dyDescent="0.15">
      <c r="G44" s="16"/>
    </row>
    <row r="45" spans="4:7" ht="50.1" customHeight="1" x14ac:dyDescent="0.15">
      <c r="G45" s="16"/>
    </row>
    <row r="46" spans="4:7" ht="50.1" customHeight="1" x14ac:dyDescent="0.15">
      <c r="G46" s="16"/>
    </row>
    <row r="47" spans="4:7" ht="50.1" customHeight="1" x14ac:dyDescent="0.15">
      <c r="G47" s="16"/>
    </row>
    <row r="48" spans="4:7" ht="50.1" customHeight="1" x14ac:dyDescent="0.15">
      <c r="D48" s="4"/>
      <c r="E48" s="17"/>
      <c r="G48" s="16"/>
    </row>
    <row r="49" spans="4:7" ht="50.1" customHeight="1" x14ac:dyDescent="0.15">
      <c r="G49" s="16"/>
    </row>
    <row r="50" spans="4:7" ht="50.1" customHeight="1" x14ac:dyDescent="0.15">
      <c r="G50" s="16"/>
    </row>
    <row r="51" spans="4:7" ht="50.1" customHeight="1" x14ac:dyDescent="0.15">
      <c r="G51" s="16"/>
    </row>
    <row r="52" spans="4:7" ht="50.1" customHeight="1" x14ac:dyDescent="0.15">
      <c r="G52" s="16"/>
    </row>
    <row r="53" spans="4:7" ht="50.1" customHeight="1" x14ac:dyDescent="0.15">
      <c r="G53" s="16"/>
    </row>
    <row r="54" spans="4:7" ht="50.1" customHeight="1" x14ac:dyDescent="0.15">
      <c r="D54" s="4"/>
      <c r="E54" s="17"/>
      <c r="G54" s="16"/>
    </row>
    <row r="55" spans="4:7" ht="50.1" customHeight="1" x14ac:dyDescent="0.15">
      <c r="G55" s="16"/>
    </row>
    <row r="56" spans="4:7" ht="50.1" customHeight="1" x14ac:dyDescent="0.15">
      <c r="G56" s="16"/>
    </row>
    <row r="57" spans="4:7" ht="50.1" customHeight="1" x14ac:dyDescent="0.15">
      <c r="D57" s="4"/>
      <c r="E57" s="17"/>
      <c r="G57" s="16"/>
    </row>
    <row r="58" spans="4:7" ht="50.1" customHeight="1" x14ac:dyDescent="0.15">
      <c r="G58" s="16"/>
    </row>
    <row r="59" spans="4:7" ht="50.1" customHeight="1" x14ac:dyDescent="0.15">
      <c r="G59" s="16"/>
    </row>
    <row r="60" spans="4:7" ht="50.1" customHeight="1" x14ac:dyDescent="0.15">
      <c r="G60" s="16"/>
    </row>
    <row r="61" spans="4:7" ht="50.1" customHeight="1" x14ac:dyDescent="0.15">
      <c r="G61" s="16"/>
    </row>
    <row r="62" spans="4:7" ht="50.1" customHeight="1" x14ac:dyDescent="0.15">
      <c r="G62" s="16"/>
    </row>
    <row r="63" spans="4:7" ht="50.1" customHeight="1" x14ac:dyDescent="0.15">
      <c r="D63" s="4"/>
      <c r="E63" s="17"/>
      <c r="G63" s="16"/>
    </row>
    <row r="64" spans="4:7" ht="50.1" customHeight="1" x14ac:dyDescent="0.15">
      <c r="D64" s="4"/>
      <c r="E64" s="17"/>
      <c r="G64" s="16"/>
    </row>
    <row r="65" spans="4:7" ht="50.1" customHeight="1" x14ac:dyDescent="0.15">
      <c r="D65" s="4"/>
      <c r="E65" s="17"/>
      <c r="G65" s="16"/>
    </row>
    <row r="66" spans="4:7" ht="50.1" customHeight="1" x14ac:dyDescent="0.15">
      <c r="G66" s="16"/>
    </row>
    <row r="67" spans="4:7" ht="50.1" customHeight="1" x14ac:dyDescent="0.15">
      <c r="G67" s="16"/>
    </row>
    <row r="68" spans="4:7" ht="50.1" customHeight="1" x14ac:dyDescent="0.15">
      <c r="G68" s="16"/>
    </row>
    <row r="69" spans="4:7" ht="50.1" customHeight="1" x14ac:dyDescent="0.15">
      <c r="G69" s="16"/>
    </row>
    <row r="70" spans="4:7" ht="50.1" customHeight="1" x14ac:dyDescent="0.15">
      <c r="G70" s="16"/>
    </row>
    <row r="71" spans="4:7" ht="50.1" customHeight="1" x14ac:dyDescent="0.15">
      <c r="D71" s="4"/>
      <c r="E71" s="17"/>
      <c r="G71" s="16"/>
    </row>
    <row r="72" spans="4:7" ht="50.1" customHeight="1" x14ac:dyDescent="0.15">
      <c r="G72" s="16"/>
    </row>
    <row r="73" spans="4:7" ht="50.1" customHeight="1" x14ac:dyDescent="0.15">
      <c r="G73" s="16"/>
    </row>
    <row r="74" spans="4:7" ht="50.1" customHeight="1" x14ac:dyDescent="0.15">
      <c r="D74" s="4"/>
      <c r="E74" s="17"/>
      <c r="G74" s="16"/>
    </row>
    <row r="75" spans="4:7" ht="50.1" customHeight="1" x14ac:dyDescent="0.15">
      <c r="G75" s="16"/>
    </row>
    <row r="76" spans="4:7" ht="50.1" customHeight="1" x14ac:dyDescent="0.15">
      <c r="G76" s="16"/>
    </row>
    <row r="77" spans="4:7" ht="50.1" customHeight="1" x14ac:dyDescent="0.15">
      <c r="G77" s="16"/>
    </row>
    <row r="78" spans="4:7" ht="50.1" customHeight="1" x14ac:dyDescent="0.15">
      <c r="D78" s="4"/>
      <c r="E78" s="17"/>
      <c r="G78" s="16"/>
    </row>
    <row r="79" spans="4:7" ht="50.1" customHeight="1" x14ac:dyDescent="0.15">
      <c r="G79" s="16"/>
    </row>
    <row r="80" spans="4:7" ht="50.1" customHeight="1" x14ac:dyDescent="0.15">
      <c r="G80" s="16"/>
    </row>
    <row r="81" spans="7:7" ht="50.1" customHeight="1" x14ac:dyDescent="0.15">
      <c r="G81" s="16"/>
    </row>
    <row r="82" spans="7:7" ht="50.1" customHeight="1" x14ac:dyDescent="0.15">
      <c r="G82" s="16"/>
    </row>
    <row r="83" spans="7:7" ht="50.1" customHeight="1" x14ac:dyDescent="0.15">
      <c r="G83" s="16"/>
    </row>
    <row r="84" spans="7:7" ht="50.1" customHeight="1" x14ac:dyDescent="0.15">
      <c r="G84" s="16"/>
    </row>
    <row r="85" spans="7:7" ht="50.1" customHeight="1" x14ac:dyDescent="0.15">
      <c r="G85" s="16"/>
    </row>
    <row r="86" spans="7:7" ht="50.1" customHeight="1" x14ac:dyDescent="0.15">
      <c r="G86" s="16"/>
    </row>
    <row r="87" spans="7:7" ht="50.1" customHeight="1" x14ac:dyDescent="0.15">
      <c r="G87" s="16"/>
    </row>
    <row r="88" spans="7:7" ht="50.1" customHeight="1" x14ac:dyDescent="0.15">
      <c r="G88" s="16"/>
    </row>
    <row r="89" spans="7:7" ht="50.1" customHeight="1" x14ac:dyDescent="0.15">
      <c r="G89" s="16"/>
    </row>
    <row r="90" spans="7:7" ht="50.1" customHeight="1" x14ac:dyDescent="0.15">
      <c r="G90" s="16"/>
    </row>
    <row r="91" spans="7:7" ht="50.1" customHeight="1" x14ac:dyDescent="0.15">
      <c r="G91" s="16"/>
    </row>
    <row r="92" spans="7:7" ht="50.1" customHeight="1" x14ac:dyDescent="0.15">
      <c r="G92" s="16"/>
    </row>
    <row r="93" spans="7:7" ht="50.1" customHeight="1" x14ac:dyDescent="0.15">
      <c r="G93" s="16"/>
    </row>
    <row r="94" spans="7:7" ht="50.1" customHeight="1" x14ac:dyDescent="0.15">
      <c r="G94" s="16"/>
    </row>
    <row r="95" spans="7:7" ht="50.1" customHeight="1" x14ac:dyDescent="0.15">
      <c r="G95" s="16"/>
    </row>
    <row r="96" spans="7:7" ht="50.1" customHeight="1" x14ac:dyDescent="0.15">
      <c r="G96" s="16"/>
    </row>
    <row r="97" spans="4:7" ht="50.1" customHeight="1" x14ac:dyDescent="0.15">
      <c r="D97" s="4"/>
      <c r="E97" s="17"/>
      <c r="G97" s="16"/>
    </row>
    <row r="98" spans="4:7" ht="50.1" customHeight="1" x14ac:dyDescent="0.15">
      <c r="G98" s="16"/>
    </row>
    <row r="99" spans="4:7" ht="50.1" customHeight="1" x14ac:dyDescent="0.15">
      <c r="G99" s="16"/>
    </row>
    <row r="100" spans="4:7" ht="50.1" customHeight="1" x14ac:dyDescent="0.15">
      <c r="G100" s="16"/>
    </row>
    <row r="101" spans="4:7" ht="50.1" customHeight="1" x14ac:dyDescent="0.15">
      <c r="G101" s="16"/>
    </row>
    <row r="102" spans="4:7" ht="50.1" customHeight="1" x14ac:dyDescent="0.15">
      <c r="G102" s="16"/>
    </row>
    <row r="103" spans="4:7" ht="50.1" customHeight="1" x14ac:dyDescent="0.15">
      <c r="G103" s="16"/>
    </row>
    <row r="104" spans="4:7" ht="50.1" customHeight="1" x14ac:dyDescent="0.15">
      <c r="G104" s="16"/>
    </row>
    <row r="105" spans="4:7" ht="50.1" customHeight="1" x14ac:dyDescent="0.15">
      <c r="G105" s="16"/>
    </row>
    <row r="106" spans="4:7" ht="50.1" customHeight="1" x14ac:dyDescent="0.15">
      <c r="D106" s="4"/>
      <c r="E106" s="17"/>
      <c r="G106" s="16"/>
    </row>
    <row r="107" spans="4:7" ht="50.1" customHeight="1" x14ac:dyDescent="0.15">
      <c r="D107" s="4"/>
      <c r="E107" s="17"/>
      <c r="G107" s="16"/>
    </row>
    <row r="108" spans="4:7" ht="50.1" customHeight="1" x14ac:dyDescent="0.15">
      <c r="G108" s="16"/>
    </row>
    <row r="109" spans="4:7" ht="50.1" customHeight="1" x14ac:dyDescent="0.15">
      <c r="D109" s="4"/>
      <c r="E109" s="17"/>
      <c r="G109" s="16"/>
    </row>
    <row r="110" spans="4:7" ht="50.1" customHeight="1" x14ac:dyDescent="0.15">
      <c r="G110" s="16"/>
    </row>
    <row r="111" spans="4:7" ht="50.1" customHeight="1" x14ac:dyDescent="0.15">
      <c r="G111" s="16"/>
    </row>
    <row r="112" spans="4:7" ht="50.1" customHeight="1" x14ac:dyDescent="0.15">
      <c r="G112" s="16"/>
    </row>
    <row r="113" spans="4:7" ht="50.1" customHeight="1" x14ac:dyDescent="0.15">
      <c r="G113" s="16"/>
    </row>
    <row r="114" spans="4:7" ht="50.1" customHeight="1" x14ac:dyDescent="0.15">
      <c r="G114" s="16"/>
    </row>
    <row r="115" spans="4:7" ht="50.1" customHeight="1" x14ac:dyDescent="0.15">
      <c r="D115" s="4"/>
      <c r="E115" s="17"/>
      <c r="G115" s="16"/>
    </row>
    <row r="116" spans="4:7" ht="50.1" customHeight="1" x14ac:dyDescent="0.15">
      <c r="G116" s="16"/>
    </row>
    <row r="117" spans="4:7" ht="50.1" customHeight="1" x14ac:dyDescent="0.15">
      <c r="G117" s="16"/>
    </row>
    <row r="118" spans="4:7" ht="50.1" customHeight="1" x14ac:dyDescent="0.15">
      <c r="G118" s="16"/>
    </row>
    <row r="119" spans="4:7" ht="50.1" customHeight="1" x14ac:dyDescent="0.15">
      <c r="G119" s="16"/>
    </row>
    <row r="120" spans="4:7" ht="50.1" customHeight="1" x14ac:dyDescent="0.15">
      <c r="G120" s="16"/>
    </row>
    <row r="121" spans="4:7" ht="50.1" customHeight="1" x14ac:dyDescent="0.15">
      <c r="G121" s="16"/>
    </row>
    <row r="122" spans="4:7" ht="50.1" customHeight="1" x14ac:dyDescent="0.15">
      <c r="G122" s="16"/>
    </row>
    <row r="123" spans="4:7" ht="50.1" customHeight="1" x14ac:dyDescent="0.15">
      <c r="D123" s="4"/>
      <c r="E123" s="17"/>
      <c r="G123" s="16"/>
    </row>
    <row r="124" spans="4:7" ht="50.1" customHeight="1" x14ac:dyDescent="0.15">
      <c r="D124" s="4"/>
      <c r="E124" s="17"/>
      <c r="G124" s="16"/>
    </row>
    <row r="125" spans="4:7" ht="50.1" customHeight="1" x14ac:dyDescent="0.15">
      <c r="G125" s="16"/>
    </row>
    <row r="126" spans="4:7" ht="50.1" customHeight="1" x14ac:dyDescent="0.15">
      <c r="G126" s="16"/>
    </row>
    <row r="127" spans="4:7" ht="50.1" customHeight="1" x14ac:dyDescent="0.15">
      <c r="G127" s="16"/>
    </row>
    <row r="128" spans="4:7" ht="50.1" customHeight="1" x14ac:dyDescent="0.15">
      <c r="G128" s="16"/>
    </row>
    <row r="129" spans="4:7" ht="50.1" customHeight="1" x14ac:dyDescent="0.15">
      <c r="G129" s="16"/>
    </row>
    <row r="130" spans="4:7" ht="50.1" customHeight="1" x14ac:dyDescent="0.15">
      <c r="G130" s="16"/>
    </row>
    <row r="131" spans="4:7" ht="50.1" customHeight="1" x14ac:dyDescent="0.15">
      <c r="G131" s="16"/>
    </row>
    <row r="132" spans="4:7" ht="50.1" customHeight="1" x14ac:dyDescent="0.15">
      <c r="G132" s="16"/>
    </row>
    <row r="133" spans="4:7" ht="50.1" customHeight="1" x14ac:dyDescent="0.15">
      <c r="G133" s="16"/>
    </row>
    <row r="134" spans="4:7" ht="50.1" customHeight="1" x14ac:dyDescent="0.15">
      <c r="G134" s="16"/>
    </row>
    <row r="135" spans="4:7" ht="50.1" customHeight="1" x14ac:dyDescent="0.15">
      <c r="D135" s="4"/>
      <c r="E135" s="17"/>
      <c r="G135" s="16"/>
    </row>
    <row r="136" spans="4:7" ht="50.1" customHeight="1" x14ac:dyDescent="0.15">
      <c r="G136" s="16"/>
    </row>
    <row r="137" spans="4:7" ht="50.1" customHeight="1" x14ac:dyDescent="0.15">
      <c r="G137" s="16"/>
    </row>
    <row r="138" spans="4:7" ht="50.1" customHeight="1" x14ac:dyDescent="0.15">
      <c r="G138" s="16"/>
    </row>
    <row r="139" spans="4:7" ht="50.1" customHeight="1" x14ac:dyDescent="0.15">
      <c r="G139" s="16"/>
    </row>
    <row r="140" spans="4:7" ht="50.1" customHeight="1" x14ac:dyDescent="0.15">
      <c r="G140" s="16"/>
    </row>
    <row r="141" spans="4:7" ht="50.1" customHeight="1" x14ac:dyDescent="0.15">
      <c r="G141" s="16"/>
    </row>
    <row r="142" spans="4:7" ht="50.1" customHeight="1" x14ac:dyDescent="0.15">
      <c r="G142" s="16"/>
    </row>
    <row r="143" spans="4:7" ht="50.1" customHeight="1" x14ac:dyDescent="0.15">
      <c r="G143" s="16"/>
    </row>
    <row r="144" spans="4:7" ht="50.1" customHeight="1" x14ac:dyDescent="0.15">
      <c r="G144" s="16"/>
    </row>
    <row r="145" spans="4:7" ht="50.1" customHeight="1" x14ac:dyDescent="0.15">
      <c r="G145" s="16"/>
    </row>
    <row r="146" spans="4:7" ht="50.1" customHeight="1" x14ac:dyDescent="0.15">
      <c r="G146" s="16"/>
    </row>
    <row r="147" spans="4:7" ht="50.1" customHeight="1" x14ac:dyDescent="0.15">
      <c r="G147" s="16"/>
    </row>
    <row r="148" spans="4:7" ht="50.1" customHeight="1" x14ac:dyDescent="0.15">
      <c r="G148" s="16"/>
    </row>
    <row r="149" spans="4:7" ht="50.1" customHeight="1" x14ac:dyDescent="0.15">
      <c r="G149" s="16"/>
    </row>
    <row r="150" spans="4:7" ht="50.1" customHeight="1" x14ac:dyDescent="0.15">
      <c r="G150" s="16"/>
    </row>
    <row r="151" spans="4:7" ht="50.1" customHeight="1" x14ac:dyDescent="0.15">
      <c r="G151" s="16"/>
    </row>
    <row r="152" spans="4:7" ht="50.1" customHeight="1" x14ac:dyDescent="0.15">
      <c r="G152" s="16"/>
    </row>
    <row r="153" spans="4:7" ht="50.1" customHeight="1" x14ac:dyDescent="0.15">
      <c r="G153" s="16"/>
    </row>
    <row r="154" spans="4:7" ht="50.1" customHeight="1" x14ac:dyDescent="0.15">
      <c r="D154" s="4"/>
      <c r="E154" s="17"/>
      <c r="G154" s="16"/>
    </row>
    <row r="155" spans="4:7" ht="50.1" customHeight="1" x14ac:dyDescent="0.15">
      <c r="D155" s="4"/>
      <c r="E155" s="17"/>
      <c r="G155" s="16"/>
    </row>
    <row r="156" spans="4:7" ht="50.1" customHeight="1" x14ac:dyDescent="0.15">
      <c r="G156" s="16"/>
    </row>
    <row r="157" spans="4:7" ht="50.1" customHeight="1" x14ac:dyDescent="0.15">
      <c r="G157" s="16"/>
    </row>
    <row r="158" spans="4:7" ht="50.1" customHeight="1" x14ac:dyDescent="0.15">
      <c r="G158" s="16"/>
    </row>
    <row r="159" spans="4:7" ht="50.1" customHeight="1" x14ac:dyDescent="0.15">
      <c r="G159" s="16"/>
    </row>
    <row r="160" spans="4:7" ht="50.1" customHeight="1" x14ac:dyDescent="0.15">
      <c r="G160" s="16"/>
    </row>
    <row r="161" spans="4:7" ht="50.1" customHeight="1" x14ac:dyDescent="0.15">
      <c r="G161" s="16"/>
    </row>
    <row r="162" spans="4:7" ht="50.1" customHeight="1" x14ac:dyDescent="0.15">
      <c r="G162" s="16"/>
    </row>
    <row r="163" spans="4:7" ht="50.1" customHeight="1" x14ac:dyDescent="0.15">
      <c r="D163" s="4"/>
      <c r="E163" s="17"/>
      <c r="G163" s="16"/>
    </row>
    <row r="164" spans="4:7" ht="50.1" customHeight="1" x14ac:dyDescent="0.15">
      <c r="D164" s="4"/>
      <c r="E164" s="17"/>
      <c r="G164" s="16"/>
    </row>
    <row r="165" spans="4:7" ht="50.1" customHeight="1" x14ac:dyDescent="0.15">
      <c r="G165" s="16"/>
    </row>
    <row r="166" spans="4:7" ht="50.1" customHeight="1" x14ac:dyDescent="0.15">
      <c r="G166" s="16"/>
    </row>
    <row r="167" spans="4:7" ht="50.1" customHeight="1" x14ac:dyDescent="0.15">
      <c r="D167" s="4"/>
      <c r="E167" s="17"/>
      <c r="G167" s="16"/>
    </row>
    <row r="168" spans="4:7" ht="50.1" customHeight="1" x14ac:dyDescent="0.15">
      <c r="G168" s="16"/>
    </row>
    <row r="169" spans="4:7" ht="50.1" customHeight="1" x14ac:dyDescent="0.15">
      <c r="G169" s="16"/>
    </row>
    <row r="170" spans="4:7" ht="50.1" customHeight="1" x14ac:dyDescent="0.15">
      <c r="G170" s="16"/>
    </row>
    <row r="171" spans="4:7" ht="50.1" customHeight="1" x14ac:dyDescent="0.15">
      <c r="G171" s="16"/>
    </row>
    <row r="172" spans="4:7" ht="50.1" customHeight="1" x14ac:dyDescent="0.15">
      <c r="G172" s="16"/>
    </row>
    <row r="173" spans="4:7" ht="50.1" customHeight="1" x14ac:dyDescent="0.15">
      <c r="G173" s="16"/>
    </row>
    <row r="174" spans="4:7" ht="50.1" customHeight="1" x14ac:dyDescent="0.15">
      <c r="D174" s="4"/>
      <c r="E174" s="17"/>
      <c r="G174" s="16"/>
    </row>
    <row r="175" spans="4:7" ht="50.1" customHeight="1" x14ac:dyDescent="0.15">
      <c r="G175" s="16"/>
    </row>
    <row r="176" spans="4:7" ht="50.1" customHeight="1" x14ac:dyDescent="0.15">
      <c r="G176" s="16"/>
    </row>
    <row r="177" spans="4:7" ht="50.1" customHeight="1" x14ac:dyDescent="0.15">
      <c r="G177" s="16"/>
    </row>
    <row r="178" spans="4:7" ht="50.1" customHeight="1" x14ac:dyDescent="0.15">
      <c r="G178" s="16"/>
    </row>
    <row r="179" spans="4:7" ht="50.1" customHeight="1" x14ac:dyDescent="0.15">
      <c r="D179" s="4"/>
      <c r="E179" s="17"/>
      <c r="G179" s="16"/>
    </row>
    <row r="180" spans="4:7" ht="50.1" customHeight="1" x14ac:dyDescent="0.15">
      <c r="G180" s="16"/>
    </row>
    <row r="181" spans="4:7" ht="50.1" customHeight="1" x14ac:dyDescent="0.15">
      <c r="G181" s="16"/>
    </row>
    <row r="182" spans="4:7" ht="50.1" customHeight="1" x14ac:dyDescent="0.15">
      <c r="G182" s="16"/>
    </row>
    <row r="183" spans="4:7" ht="50.1" customHeight="1" x14ac:dyDescent="0.15">
      <c r="G183" s="16"/>
    </row>
    <row r="184" spans="4:7" ht="50.1" customHeight="1" x14ac:dyDescent="0.15">
      <c r="G184" s="16"/>
    </row>
    <row r="185" spans="4:7" ht="50.1" customHeight="1" x14ac:dyDescent="0.15">
      <c r="D185" s="4"/>
      <c r="E185" s="17"/>
      <c r="G185" s="16"/>
    </row>
    <row r="186" spans="4:7" ht="50.1" customHeight="1" x14ac:dyDescent="0.15">
      <c r="G186" s="16"/>
    </row>
    <row r="187" spans="4:7" ht="50.1" customHeight="1" x14ac:dyDescent="0.15">
      <c r="G187" s="16"/>
    </row>
    <row r="188" spans="4:7" ht="50.1" customHeight="1" x14ac:dyDescent="0.15">
      <c r="G188" s="16"/>
    </row>
    <row r="189" spans="4:7" ht="50.1" customHeight="1" x14ac:dyDescent="0.15">
      <c r="G189" s="16"/>
    </row>
    <row r="190" spans="4:7" ht="50.1" customHeight="1" x14ac:dyDescent="0.15">
      <c r="G190" s="16"/>
    </row>
    <row r="191" spans="4:7" ht="50.1" customHeight="1" x14ac:dyDescent="0.15">
      <c r="D191" s="4"/>
      <c r="E191" s="17"/>
      <c r="G191" s="16"/>
    </row>
    <row r="192" spans="4:7" ht="50.1" customHeight="1" x14ac:dyDescent="0.15">
      <c r="D192" s="4"/>
      <c r="E192" s="17"/>
      <c r="G192" s="16"/>
    </row>
    <row r="193" spans="4:7" ht="50.1" customHeight="1" x14ac:dyDescent="0.15">
      <c r="G193" s="16"/>
    </row>
    <row r="194" spans="4:7" ht="50.1" customHeight="1" x14ac:dyDescent="0.15">
      <c r="G194" s="16"/>
    </row>
    <row r="195" spans="4:7" ht="50.1" customHeight="1" x14ac:dyDescent="0.15">
      <c r="G195" s="16"/>
    </row>
    <row r="196" spans="4:7" ht="50.1" customHeight="1" x14ac:dyDescent="0.15">
      <c r="G196" s="16"/>
    </row>
    <row r="197" spans="4:7" ht="50.1" customHeight="1" x14ac:dyDescent="0.15">
      <c r="G197" s="16"/>
    </row>
    <row r="198" spans="4:7" ht="50.1" customHeight="1" x14ac:dyDescent="0.15">
      <c r="D198" s="4"/>
      <c r="E198" s="17"/>
      <c r="G198" s="16"/>
    </row>
    <row r="199" spans="4:7" ht="50.1" customHeight="1" x14ac:dyDescent="0.15">
      <c r="G199" s="16"/>
    </row>
    <row r="200" spans="4:7" ht="50.1" customHeight="1" x14ac:dyDescent="0.15">
      <c r="D200" s="4"/>
      <c r="E200" s="17"/>
      <c r="G200" s="16"/>
    </row>
    <row r="201" spans="4:7" ht="50.1" customHeight="1" x14ac:dyDescent="0.15">
      <c r="G201" s="16"/>
    </row>
    <row r="202" spans="4:7" ht="50.1" customHeight="1" x14ac:dyDescent="0.15">
      <c r="G202" s="16"/>
    </row>
    <row r="203" spans="4:7" ht="50.1" customHeight="1" x14ac:dyDescent="0.15">
      <c r="G203" s="16"/>
    </row>
    <row r="204" spans="4:7" ht="50.1" customHeight="1" x14ac:dyDescent="0.15">
      <c r="D204" s="4"/>
      <c r="E204" s="17"/>
      <c r="G204" s="16"/>
    </row>
    <row r="205" spans="4:7" ht="50.1" customHeight="1" x14ac:dyDescent="0.15">
      <c r="G205" s="16"/>
    </row>
    <row r="206" spans="4:7" ht="50.1" customHeight="1" x14ac:dyDescent="0.15">
      <c r="G206" s="16"/>
    </row>
    <row r="207" spans="4:7" ht="50.1" customHeight="1" x14ac:dyDescent="0.15">
      <c r="G207" s="16"/>
    </row>
    <row r="208" spans="4:7" ht="50.1" customHeight="1" x14ac:dyDescent="0.15">
      <c r="G208" s="16"/>
    </row>
    <row r="209" spans="4:7" ht="50.1" customHeight="1" x14ac:dyDescent="0.15">
      <c r="G209" s="16"/>
    </row>
    <row r="210" spans="4:7" ht="50.1" customHeight="1" x14ac:dyDescent="0.15">
      <c r="G210" s="16"/>
    </row>
    <row r="211" spans="4:7" ht="50.1" customHeight="1" x14ac:dyDescent="0.15">
      <c r="G211" s="16"/>
    </row>
    <row r="212" spans="4:7" ht="50.1" customHeight="1" x14ac:dyDescent="0.15">
      <c r="G212" s="16"/>
    </row>
    <row r="213" spans="4:7" ht="50.1" customHeight="1" x14ac:dyDescent="0.15">
      <c r="G213" s="16"/>
    </row>
    <row r="214" spans="4:7" ht="50.1" customHeight="1" x14ac:dyDescent="0.15">
      <c r="D214" s="4"/>
      <c r="E214" s="17"/>
      <c r="G214" s="16"/>
    </row>
    <row r="215" spans="4:7" ht="50.1" customHeight="1" x14ac:dyDescent="0.15">
      <c r="G215" s="16"/>
    </row>
    <row r="216" spans="4:7" ht="50.1" customHeight="1" x14ac:dyDescent="0.15">
      <c r="G216" s="16"/>
    </row>
    <row r="217" spans="4:7" ht="50.1" customHeight="1" x14ac:dyDescent="0.15">
      <c r="G217" s="16"/>
    </row>
    <row r="218" spans="4:7" ht="50.1" customHeight="1" x14ac:dyDescent="0.15">
      <c r="G218" s="16"/>
    </row>
    <row r="219" spans="4:7" ht="50.1" customHeight="1" x14ac:dyDescent="0.15">
      <c r="G219" s="16"/>
    </row>
    <row r="220" spans="4:7" ht="50.1" customHeight="1" x14ac:dyDescent="0.15">
      <c r="G220" s="16"/>
    </row>
    <row r="221" spans="4:7" ht="50.1" customHeight="1" x14ac:dyDescent="0.15">
      <c r="G221" s="16"/>
    </row>
    <row r="222" spans="4:7" ht="50.1" customHeight="1" x14ac:dyDescent="0.15">
      <c r="D222" s="4"/>
      <c r="E222" s="17"/>
      <c r="G222" s="16"/>
    </row>
    <row r="223" spans="4:7" ht="50.1" customHeight="1" x14ac:dyDescent="0.15">
      <c r="G223" s="16"/>
    </row>
    <row r="224" spans="4:7" ht="50.1" customHeight="1" x14ac:dyDescent="0.15">
      <c r="D224" s="4"/>
      <c r="E224" s="17"/>
      <c r="G224" s="16"/>
    </row>
    <row r="225" spans="7:7" ht="50.1" customHeight="1" x14ac:dyDescent="0.15">
      <c r="G225" s="16"/>
    </row>
    <row r="226" spans="7:7" ht="50.1" customHeight="1" x14ac:dyDescent="0.15">
      <c r="G226" s="16"/>
    </row>
    <row r="227" spans="7:7" ht="50.1" customHeight="1" x14ac:dyDescent="0.15">
      <c r="G227" s="16"/>
    </row>
    <row r="228" spans="7:7" ht="50.1" customHeight="1" x14ac:dyDescent="0.15">
      <c r="G228" s="16"/>
    </row>
    <row r="229" spans="7:7" ht="50.1" customHeight="1" x14ac:dyDescent="0.15">
      <c r="G229" s="16"/>
    </row>
    <row r="230" spans="7:7" ht="50.1" customHeight="1" x14ac:dyDescent="0.15">
      <c r="G230" s="16"/>
    </row>
    <row r="231" spans="7:7" ht="50.1" customHeight="1" x14ac:dyDescent="0.15">
      <c r="G231" s="16"/>
    </row>
    <row r="232" spans="7:7" ht="50.1" customHeight="1" x14ac:dyDescent="0.15">
      <c r="G232" s="16"/>
    </row>
    <row r="233" spans="7:7" ht="50.1" customHeight="1" x14ac:dyDescent="0.15">
      <c r="G233" s="16"/>
    </row>
    <row r="234" spans="7:7" ht="50.1" customHeight="1" x14ac:dyDescent="0.15">
      <c r="G234" s="16"/>
    </row>
    <row r="235" spans="7:7" ht="50.1" customHeight="1" x14ac:dyDescent="0.15">
      <c r="G235" s="16"/>
    </row>
    <row r="236" spans="7:7" ht="50.1" customHeight="1" x14ac:dyDescent="0.15">
      <c r="G236" s="16"/>
    </row>
    <row r="237" spans="7:7" ht="50.1" customHeight="1" x14ac:dyDescent="0.15">
      <c r="G237" s="16"/>
    </row>
    <row r="238" spans="7:7" ht="50.1" customHeight="1" x14ac:dyDescent="0.15">
      <c r="G238" s="16"/>
    </row>
    <row r="239" spans="7:7" ht="50.1" customHeight="1" x14ac:dyDescent="0.15">
      <c r="G239" s="16"/>
    </row>
    <row r="240" spans="7:7" ht="50.1" customHeight="1" x14ac:dyDescent="0.15">
      <c r="G240" s="16"/>
    </row>
    <row r="241" spans="4:7" ht="50.1" customHeight="1" x14ac:dyDescent="0.15">
      <c r="G241" s="16"/>
    </row>
    <row r="242" spans="4:7" ht="50.1" customHeight="1" x14ac:dyDescent="0.15">
      <c r="G242" s="16"/>
    </row>
    <row r="243" spans="4:7" ht="50.1" customHeight="1" x14ac:dyDescent="0.15">
      <c r="G243" s="16"/>
    </row>
    <row r="244" spans="4:7" ht="50.1" customHeight="1" x14ac:dyDescent="0.15">
      <c r="D244" s="4"/>
      <c r="E244" s="17"/>
      <c r="G244" s="16"/>
    </row>
    <row r="245" spans="4:7" ht="50.1" customHeight="1" x14ac:dyDescent="0.15">
      <c r="G245" s="16"/>
    </row>
    <row r="246" spans="4:7" ht="50.1" customHeight="1" x14ac:dyDescent="0.15">
      <c r="G246" s="16"/>
    </row>
    <row r="247" spans="4:7" ht="50.1" customHeight="1" x14ac:dyDescent="0.15">
      <c r="G247" s="16"/>
    </row>
    <row r="248" spans="4:7" ht="50.1" customHeight="1" x14ac:dyDescent="0.15">
      <c r="G248" s="16"/>
    </row>
    <row r="249" spans="4:7" ht="50.1" customHeight="1" x14ac:dyDescent="0.15">
      <c r="G249" s="16"/>
    </row>
    <row r="250" spans="4:7" ht="50.1" customHeight="1" x14ac:dyDescent="0.15">
      <c r="G250" s="16"/>
    </row>
    <row r="251" spans="4:7" ht="50.1" customHeight="1" x14ac:dyDescent="0.15">
      <c r="G251" s="16"/>
    </row>
    <row r="252" spans="4:7" ht="50.1" customHeight="1" x14ac:dyDescent="0.15">
      <c r="G252" s="16"/>
    </row>
    <row r="253" spans="4:7" ht="50.1" customHeight="1" x14ac:dyDescent="0.15">
      <c r="G253" s="16"/>
    </row>
    <row r="254" spans="4:7" ht="50.1" customHeight="1" x14ac:dyDescent="0.15">
      <c r="G254" s="16"/>
    </row>
    <row r="255" spans="4:7" ht="50.1" customHeight="1" x14ac:dyDescent="0.15">
      <c r="G255" s="16"/>
    </row>
    <row r="256" spans="4:7" ht="50.1" customHeight="1" x14ac:dyDescent="0.15">
      <c r="G256" s="16"/>
    </row>
    <row r="257" spans="4:7" ht="50.1" customHeight="1" x14ac:dyDescent="0.15">
      <c r="G257" s="16"/>
    </row>
    <row r="258" spans="4:7" ht="50.1" customHeight="1" x14ac:dyDescent="0.15">
      <c r="G258" s="16"/>
    </row>
    <row r="259" spans="4:7" ht="50.1" customHeight="1" x14ac:dyDescent="0.15">
      <c r="G259" s="16"/>
    </row>
    <row r="260" spans="4:7" ht="50.1" customHeight="1" x14ac:dyDescent="0.15">
      <c r="G260" s="16"/>
    </row>
    <row r="261" spans="4:7" ht="50.1" customHeight="1" x14ac:dyDescent="0.15">
      <c r="G261" s="16"/>
    </row>
    <row r="262" spans="4:7" ht="50.1" customHeight="1" x14ac:dyDescent="0.15">
      <c r="D262" s="4"/>
      <c r="E262" s="17"/>
      <c r="G262" s="16"/>
    </row>
    <row r="263" spans="4:7" ht="50.1" customHeight="1" x14ac:dyDescent="0.15">
      <c r="D263" s="4"/>
      <c r="E263" s="17"/>
      <c r="G263" s="16"/>
    </row>
    <row r="264" spans="4:7" ht="50.1" customHeight="1" x14ac:dyDescent="0.15">
      <c r="D264" s="54"/>
      <c r="E264" s="18"/>
      <c r="G264" s="19"/>
    </row>
    <row r="265" spans="4:7" ht="50.1" customHeight="1" x14ac:dyDescent="0.15">
      <c r="G265" s="16"/>
    </row>
    <row r="266" spans="4:7" ht="50.1" customHeight="1" x14ac:dyDescent="0.15">
      <c r="G266" s="16"/>
    </row>
    <row r="267" spans="4:7" ht="50.1" customHeight="1" x14ac:dyDescent="0.15">
      <c r="G267" s="16"/>
    </row>
    <row r="268" spans="4:7" ht="50.1" customHeight="1" x14ac:dyDescent="0.15">
      <c r="G268" s="16"/>
    </row>
    <row r="269" spans="4:7" ht="50.1" customHeight="1" x14ac:dyDescent="0.15">
      <c r="D269" s="4"/>
      <c r="E269" s="17"/>
      <c r="G269" s="16"/>
    </row>
    <row r="270" spans="4:7" ht="50.1" customHeight="1" x14ac:dyDescent="0.15">
      <c r="G270" s="16"/>
    </row>
    <row r="271" spans="4:7" ht="50.1" customHeight="1" x14ac:dyDescent="0.15">
      <c r="G271" s="16"/>
    </row>
    <row r="272" spans="4:7" ht="50.1" customHeight="1" x14ac:dyDescent="0.15">
      <c r="G272" s="16"/>
    </row>
    <row r="273" spans="7:7" ht="50.1" customHeight="1" x14ac:dyDescent="0.15">
      <c r="G273" s="16"/>
    </row>
    <row r="274" spans="7:7" ht="50.1" customHeight="1" x14ac:dyDescent="0.15">
      <c r="G274" s="16"/>
    </row>
    <row r="275" spans="7:7" ht="50.1" customHeight="1" x14ac:dyDescent="0.15">
      <c r="G275" s="16"/>
    </row>
    <row r="276" spans="7:7" ht="50.1" customHeight="1" x14ac:dyDescent="0.15">
      <c r="G276" s="16"/>
    </row>
    <row r="277" spans="7:7" ht="50.1" customHeight="1" x14ac:dyDescent="0.15">
      <c r="G277" s="16"/>
    </row>
    <row r="278" spans="7:7" ht="50.1" customHeight="1" x14ac:dyDescent="0.15">
      <c r="G278" s="16"/>
    </row>
    <row r="279" spans="7:7" ht="50.1" customHeight="1" x14ac:dyDescent="0.15">
      <c r="G279" s="16"/>
    </row>
    <row r="280" spans="7:7" ht="50.1" customHeight="1" x14ac:dyDescent="0.15">
      <c r="G280" s="16"/>
    </row>
    <row r="281" spans="7:7" ht="50.1" customHeight="1" x14ac:dyDescent="0.15">
      <c r="G281" s="16"/>
    </row>
    <row r="282" spans="7:7" ht="50.1" customHeight="1" x14ac:dyDescent="0.15">
      <c r="G282" s="16"/>
    </row>
    <row r="283" spans="7:7" ht="50.1" customHeight="1" x14ac:dyDescent="0.15">
      <c r="G283" s="16"/>
    </row>
    <row r="284" spans="7:7" ht="50.1" customHeight="1" x14ac:dyDescent="0.15">
      <c r="G284" s="16"/>
    </row>
    <row r="285" spans="7:7" ht="50.1" customHeight="1" x14ac:dyDescent="0.15">
      <c r="G285" s="16"/>
    </row>
    <row r="286" spans="7:7" ht="50.1" customHeight="1" x14ac:dyDescent="0.15">
      <c r="G286" s="16"/>
    </row>
    <row r="287" spans="7:7" ht="50.1" customHeight="1" x14ac:dyDescent="0.15">
      <c r="G287" s="16"/>
    </row>
    <row r="288" spans="7:7" ht="50.1" customHeight="1" x14ac:dyDescent="0.15">
      <c r="G288" s="16"/>
    </row>
    <row r="289" spans="4:7" ht="50.1" customHeight="1" x14ac:dyDescent="0.15">
      <c r="G289" s="16"/>
    </row>
    <row r="290" spans="4:7" ht="50.1" customHeight="1" x14ac:dyDescent="0.15">
      <c r="G290" s="16"/>
    </row>
    <row r="291" spans="4:7" ht="50.1" customHeight="1" x14ac:dyDescent="0.15">
      <c r="G291" s="16"/>
    </row>
    <row r="292" spans="4:7" ht="50.1" customHeight="1" x14ac:dyDescent="0.15">
      <c r="G292" s="16"/>
    </row>
    <row r="293" spans="4:7" ht="50.1" customHeight="1" x14ac:dyDescent="0.15">
      <c r="G293" s="16"/>
    </row>
    <row r="294" spans="4:7" ht="50.1" customHeight="1" x14ac:dyDescent="0.15">
      <c r="G294" s="16"/>
    </row>
    <row r="295" spans="4:7" ht="50.1" customHeight="1" x14ac:dyDescent="0.15">
      <c r="G295" s="16"/>
    </row>
    <row r="296" spans="4:7" ht="50.1" customHeight="1" x14ac:dyDescent="0.15">
      <c r="G296" s="16"/>
    </row>
    <row r="297" spans="4:7" ht="50.1" customHeight="1" x14ac:dyDescent="0.15">
      <c r="G297" s="16"/>
    </row>
    <row r="298" spans="4:7" ht="50.1" customHeight="1" x14ac:dyDescent="0.15">
      <c r="D298" s="4"/>
      <c r="E298" s="17"/>
      <c r="G298" s="16"/>
    </row>
    <row r="299" spans="4:7" ht="50.1" customHeight="1" x14ac:dyDescent="0.15">
      <c r="G299" s="16"/>
    </row>
    <row r="300" spans="4:7" ht="50.1" customHeight="1" x14ac:dyDescent="0.15">
      <c r="G300" s="16"/>
    </row>
    <row r="301" spans="4:7" ht="50.1" customHeight="1" x14ac:dyDescent="0.15">
      <c r="G301" s="16"/>
    </row>
    <row r="302" spans="4:7" ht="50.1" customHeight="1" x14ac:dyDescent="0.15">
      <c r="G302" s="16"/>
    </row>
    <row r="303" spans="4:7" ht="50.1" customHeight="1" x14ac:dyDescent="0.15">
      <c r="G303" s="16"/>
    </row>
    <row r="304" spans="4:7" ht="50.1" customHeight="1" x14ac:dyDescent="0.15">
      <c r="G304" s="16"/>
    </row>
    <row r="305" spans="4:7" ht="50.1" customHeight="1" x14ac:dyDescent="0.15">
      <c r="G305" s="16"/>
    </row>
    <row r="306" spans="4:7" ht="50.1" customHeight="1" x14ac:dyDescent="0.15">
      <c r="D306" s="4"/>
      <c r="E306" s="17"/>
      <c r="G306" s="16"/>
    </row>
    <row r="307" spans="4:7" ht="50.1" customHeight="1" x14ac:dyDescent="0.15">
      <c r="G307" s="16"/>
    </row>
    <row r="308" spans="4:7" ht="50.1" customHeight="1" x14ac:dyDescent="0.15">
      <c r="G308" s="16"/>
    </row>
    <row r="309" spans="4:7" ht="50.1" customHeight="1" x14ac:dyDescent="0.15">
      <c r="G309" s="16"/>
    </row>
    <row r="310" spans="4:7" ht="50.1" customHeight="1" x14ac:dyDescent="0.15">
      <c r="G310" s="16"/>
    </row>
    <row r="311" spans="4:7" ht="50.1" customHeight="1" x14ac:dyDescent="0.15">
      <c r="D311" s="4"/>
      <c r="E311" s="17"/>
      <c r="G311" s="16"/>
    </row>
    <row r="312" spans="4:7" ht="50.1" customHeight="1" x14ac:dyDescent="0.15">
      <c r="G312" s="16"/>
    </row>
    <row r="313" spans="4:7" ht="50.1" customHeight="1" x14ac:dyDescent="0.15">
      <c r="G313" s="16"/>
    </row>
    <row r="314" spans="4:7" ht="50.1" customHeight="1" x14ac:dyDescent="0.15">
      <c r="G314" s="16"/>
    </row>
    <row r="315" spans="4:7" ht="50.1" customHeight="1" x14ac:dyDescent="0.15">
      <c r="G315" s="16"/>
    </row>
    <row r="316" spans="4:7" ht="50.1" customHeight="1" x14ac:dyDescent="0.15">
      <c r="G316" s="16"/>
    </row>
    <row r="317" spans="4:7" ht="50.1" customHeight="1" x14ac:dyDescent="0.15">
      <c r="G317" s="16"/>
    </row>
    <row r="318" spans="4:7" ht="50.1" customHeight="1" x14ac:dyDescent="0.15">
      <c r="D318" s="4"/>
      <c r="E318" s="17"/>
      <c r="G318" s="16"/>
    </row>
    <row r="319" spans="4:7" ht="50.1" customHeight="1" x14ac:dyDescent="0.15">
      <c r="G319" s="16"/>
    </row>
    <row r="320" spans="4:7" ht="50.1" customHeight="1" x14ac:dyDescent="0.15">
      <c r="G320" s="16"/>
    </row>
    <row r="321" spans="4:7" ht="50.1" customHeight="1" x14ac:dyDescent="0.15">
      <c r="G321" s="16"/>
    </row>
    <row r="322" spans="4:7" ht="50.1" customHeight="1" x14ac:dyDescent="0.15">
      <c r="G322" s="16"/>
    </row>
    <row r="323" spans="4:7" ht="50.1" customHeight="1" x14ac:dyDescent="0.15">
      <c r="G323" s="16"/>
    </row>
    <row r="324" spans="4:7" ht="50.1" customHeight="1" x14ac:dyDescent="0.15">
      <c r="G324" s="16"/>
    </row>
    <row r="325" spans="4:7" ht="50.1" customHeight="1" x14ac:dyDescent="0.15">
      <c r="G325" s="16"/>
    </row>
    <row r="326" spans="4:7" ht="50.1" customHeight="1" x14ac:dyDescent="0.15">
      <c r="D326" s="4"/>
      <c r="E326" s="17"/>
      <c r="G326" s="16"/>
    </row>
    <row r="327" spans="4:7" ht="50.1" customHeight="1" x14ac:dyDescent="0.15">
      <c r="G327" s="16"/>
    </row>
    <row r="328" spans="4:7" ht="50.1" customHeight="1" x14ac:dyDescent="0.15">
      <c r="G328" s="16"/>
    </row>
    <row r="329" spans="4:7" ht="50.1" customHeight="1" x14ac:dyDescent="0.15">
      <c r="G329" s="16"/>
    </row>
    <row r="330" spans="4:7" ht="50.1" customHeight="1" x14ac:dyDescent="0.15">
      <c r="G330" s="16"/>
    </row>
    <row r="331" spans="4:7" ht="50.1" customHeight="1" x14ac:dyDescent="0.15">
      <c r="G331" s="16"/>
    </row>
    <row r="332" spans="4:7" ht="50.1" customHeight="1" x14ac:dyDescent="0.15">
      <c r="G332" s="16"/>
    </row>
    <row r="333" spans="4:7" ht="50.1" customHeight="1" x14ac:dyDescent="0.15">
      <c r="G333" s="16"/>
    </row>
    <row r="334" spans="4:7" ht="50.1" customHeight="1" x14ac:dyDescent="0.15">
      <c r="G334" s="16"/>
    </row>
    <row r="335" spans="4:7" ht="50.1" customHeight="1" x14ac:dyDescent="0.15">
      <c r="G335" s="16"/>
    </row>
    <row r="336" spans="4:7" ht="50.1" customHeight="1" x14ac:dyDescent="0.15">
      <c r="G336" s="16"/>
    </row>
    <row r="337" spans="4:7" ht="50.1" customHeight="1" x14ac:dyDescent="0.15">
      <c r="G337" s="16"/>
    </row>
    <row r="338" spans="4:7" ht="50.1" customHeight="1" x14ac:dyDescent="0.15">
      <c r="G338" s="16"/>
    </row>
    <row r="339" spans="4:7" ht="50.1" customHeight="1" x14ac:dyDescent="0.15">
      <c r="G339" s="16"/>
    </row>
    <row r="340" spans="4:7" ht="50.1" customHeight="1" x14ac:dyDescent="0.15">
      <c r="G340" s="16"/>
    </row>
    <row r="341" spans="4:7" ht="50.1" customHeight="1" x14ac:dyDescent="0.15">
      <c r="G341" s="16"/>
    </row>
    <row r="342" spans="4:7" ht="50.1" customHeight="1" x14ac:dyDescent="0.15">
      <c r="D342" s="4"/>
      <c r="E342" s="17"/>
      <c r="G342" s="16"/>
    </row>
    <row r="343" spans="4:7" ht="50.1" customHeight="1" x14ac:dyDescent="0.15">
      <c r="G343" s="16"/>
    </row>
    <row r="344" spans="4:7" ht="50.1" customHeight="1" x14ac:dyDescent="0.15">
      <c r="G344" s="16"/>
    </row>
    <row r="345" spans="4:7" ht="50.1" customHeight="1" x14ac:dyDescent="0.15">
      <c r="G345" s="16"/>
    </row>
    <row r="346" spans="4:7" ht="50.1" customHeight="1" x14ac:dyDescent="0.15">
      <c r="G346" s="16"/>
    </row>
    <row r="347" spans="4:7" ht="50.1" customHeight="1" x14ac:dyDescent="0.15">
      <c r="G347" s="16"/>
    </row>
    <row r="348" spans="4:7" ht="50.1" customHeight="1" x14ac:dyDescent="0.15">
      <c r="G348" s="16"/>
    </row>
    <row r="349" spans="4:7" ht="50.1" customHeight="1" x14ac:dyDescent="0.15">
      <c r="G349" s="16"/>
    </row>
    <row r="350" spans="4:7" ht="50.1" customHeight="1" x14ac:dyDescent="0.15">
      <c r="G350" s="16"/>
    </row>
    <row r="351" spans="4:7" ht="50.1" customHeight="1" x14ac:dyDescent="0.15">
      <c r="G351" s="16"/>
    </row>
    <row r="352" spans="4:7" ht="50.1" customHeight="1" x14ac:dyDescent="0.15">
      <c r="D352" s="4"/>
      <c r="E352" s="17"/>
      <c r="G352" s="16"/>
    </row>
    <row r="353" spans="4:7" ht="50.1" customHeight="1" x14ac:dyDescent="0.15">
      <c r="G353" s="16"/>
    </row>
    <row r="354" spans="4:7" ht="50.1" customHeight="1" x14ac:dyDescent="0.15">
      <c r="G354" s="16"/>
    </row>
    <row r="355" spans="4:7" ht="50.1" customHeight="1" x14ac:dyDescent="0.15">
      <c r="G355" s="16"/>
    </row>
    <row r="356" spans="4:7" ht="50.1" customHeight="1" x14ac:dyDescent="0.15">
      <c r="G356" s="16"/>
    </row>
    <row r="357" spans="4:7" ht="50.1" customHeight="1" x14ac:dyDescent="0.15">
      <c r="G357" s="16"/>
    </row>
    <row r="358" spans="4:7" ht="50.1" customHeight="1" x14ac:dyDescent="0.15">
      <c r="G358" s="16"/>
    </row>
    <row r="359" spans="4:7" ht="50.1" customHeight="1" x14ac:dyDescent="0.15">
      <c r="G359" s="16"/>
    </row>
    <row r="360" spans="4:7" ht="50.1" customHeight="1" x14ac:dyDescent="0.15">
      <c r="G360" s="16"/>
    </row>
    <row r="361" spans="4:7" ht="50.1" customHeight="1" x14ac:dyDescent="0.15">
      <c r="G361" s="16"/>
    </row>
    <row r="362" spans="4:7" ht="50.1" customHeight="1" x14ac:dyDescent="0.15">
      <c r="G362" s="16"/>
    </row>
    <row r="363" spans="4:7" ht="50.1" customHeight="1" x14ac:dyDescent="0.15">
      <c r="D363" s="4"/>
      <c r="E363" s="17"/>
      <c r="G363" s="16"/>
    </row>
    <row r="364" spans="4:7" ht="50.1" customHeight="1" x14ac:dyDescent="0.15">
      <c r="G364" s="16"/>
    </row>
    <row r="365" spans="4:7" ht="50.1" customHeight="1" x14ac:dyDescent="0.15">
      <c r="G365" s="16"/>
    </row>
    <row r="366" spans="4:7" ht="50.1" customHeight="1" x14ac:dyDescent="0.15">
      <c r="G366" s="16"/>
    </row>
    <row r="367" spans="4:7" ht="50.1" customHeight="1" x14ac:dyDescent="0.15">
      <c r="G367" s="16"/>
    </row>
    <row r="368" spans="4:7" ht="50.1" customHeight="1" x14ac:dyDescent="0.15">
      <c r="G368" s="16"/>
    </row>
    <row r="369" spans="4:7" ht="50.1" customHeight="1" x14ac:dyDescent="0.15">
      <c r="G369" s="16"/>
    </row>
    <row r="370" spans="4:7" ht="50.1" customHeight="1" x14ac:dyDescent="0.15">
      <c r="G370" s="16"/>
    </row>
    <row r="371" spans="4:7" ht="50.1" customHeight="1" x14ac:dyDescent="0.15">
      <c r="G371" s="16"/>
    </row>
    <row r="372" spans="4:7" ht="50.1" customHeight="1" x14ac:dyDescent="0.15">
      <c r="G372" s="16"/>
    </row>
    <row r="373" spans="4:7" ht="50.1" customHeight="1" x14ac:dyDescent="0.15">
      <c r="G373" s="16"/>
    </row>
    <row r="374" spans="4:7" ht="50.1" customHeight="1" x14ac:dyDescent="0.15">
      <c r="D374" s="4"/>
      <c r="E374" s="17"/>
      <c r="G374" s="16"/>
    </row>
    <row r="375" spans="4:7" ht="50.1" customHeight="1" x14ac:dyDescent="0.15">
      <c r="G375" s="16"/>
    </row>
    <row r="376" spans="4:7" ht="50.1" customHeight="1" x14ac:dyDescent="0.15">
      <c r="D376" s="4"/>
      <c r="E376" s="17"/>
      <c r="G376" s="16"/>
    </row>
    <row r="377" spans="4:7" ht="50.1" customHeight="1" x14ac:dyDescent="0.15">
      <c r="G377" s="16"/>
    </row>
    <row r="378" spans="4:7" ht="50.1" customHeight="1" x14ac:dyDescent="0.15">
      <c r="D378" s="4"/>
      <c r="E378" s="17"/>
      <c r="G378" s="16"/>
    </row>
    <row r="379" spans="4:7" ht="50.1" customHeight="1" x14ac:dyDescent="0.15">
      <c r="G379" s="16"/>
    </row>
    <row r="380" spans="4:7" ht="50.1" customHeight="1" x14ac:dyDescent="0.15">
      <c r="G380" s="16"/>
    </row>
    <row r="381" spans="4:7" ht="50.1" customHeight="1" x14ac:dyDescent="0.15">
      <c r="G381" s="16"/>
    </row>
    <row r="382" spans="4:7" ht="50.1" customHeight="1" x14ac:dyDescent="0.15">
      <c r="G382" s="16"/>
    </row>
    <row r="383" spans="4:7" ht="50.1" customHeight="1" x14ac:dyDescent="0.15">
      <c r="G383" s="16"/>
    </row>
    <row r="384" spans="4:7" ht="50.1" customHeight="1" x14ac:dyDescent="0.15">
      <c r="G384" s="16"/>
    </row>
    <row r="385" spans="4:7" ht="50.1" customHeight="1" x14ac:dyDescent="0.15">
      <c r="G385" s="16"/>
    </row>
    <row r="386" spans="4:7" ht="50.1" customHeight="1" x14ac:dyDescent="0.15">
      <c r="G386" s="16"/>
    </row>
    <row r="387" spans="4:7" ht="50.1" customHeight="1" x14ac:dyDescent="0.15">
      <c r="G387" s="16"/>
    </row>
    <row r="388" spans="4:7" ht="50.1" customHeight="1" x14ac:dyDescent="0.15">
      <c r="G388" s="16"/>
    </row>
    <row r="389" spans="4:7" ht="50.1" customHeight="1" x14ac:dyDescent="0.15">
      <c r="G389" s="16"/>
    </row>
    <row r="390" spans="4:7" ht="50.1" customHeight="1" x14ac:dyDescent="0.15">
      <c r="G390" s="16"/>
    </row>
    <row r="391" spans="4:7" ht="50.1" customHeight="1" x14ac:dyDescent="0.15">
      <c r="D391" s="4"/>
      <c r="E391" s="17"/>
      <c r="G391" s="16"/>
    </row>
    <row r="392" spans="4:7" ht="50.1" customHeight="1" x14ac:dyDescent="0.15">
      <c r="G392" s="16"/>
    </row>
    <row r="393" spans="4:7" ht="50.1" customHeight="1" x14ac:dyDescent="0.15">
      <c r="G393" s="16"/>
    </row>
    <row r="394" spans="4:7" ht="50.1" customHeight="1" x14ac:dyDescent="0.15">
      <c r="D394" s="4"/>
      <c r="E394" s="17"/>
      <c r="G394" s="16"/>
    </row>
    <row r="395" spans="4:7" ht="50.1" customHeight="1" x14ac:dyDescent="0.15">
      <c r="G395" s="16"/>
    </row>
    <row r="396" spans="4:7" ht="50.1" customHeight="1" x14ac:dyDescent="0.15">
      <c r="G396" s="16"/>
    </row>
    <row r="397" spans="4:7" ht="50.1" customHeight="1" x14ac:dyDescent="0.15">
      <c r="G397" s="16"/>
    </row>
    <row r="398" spans="4:7" ht="50.1" customHeight="1" x14ac:dyDescent="0.15">
      <c r="G398" s="16"/>
    </row>
    <row r="399" spans="4:7" ht="50.1" customHeight="1" x14ac:dyDescent="0.15">
      <c r="G399" s="16"/>
    </row>
    <row r="400" spans="4:7" ht="50.1" customHeight="1" x14ac:dyDescent="0.15">
      <c r="G400" s="16"/>
    </row>
    <row r="401" spans="4:7" ht="50.1" customHeight="1" x14ac:dyDescent="0.15">
      <c r="G401" s="16"/>
    </row>
    <row r="402" spans="4:7" ht="50.1" customHeight="1" x14ac:dyDescent="0.15">
      <c r="G402" s="16"/>
    </row>
    <row r="403" spans="4:7" ht="50.1" customHeight="1" x14ac:dyDescent="0.15">
      <c r="D403" s="4"/>
      <c r="E403" s="17"/>
      <c r="G403" s="16"/>
    </row>
    <row r="404" spans="4:7" ht="50.1" customHeight="1" x14ac:dyDescent="0.15">
      <c r="G404" s="16"/>
    </row>
    <row r="405" spans="4:7" ht="50.1" customHeight="1" x14ac:dyDescent="0.15">
      <c r="G405" s="16"/>
    </row>
    <row r="406" spans="4:7" ht="50.1" customHeight="1" x14ac:dyDescent="0.15">
      <c r="G406" s="16"/>
    </row>
    <row r="407" spans="4:7" ht="50.1" customHeight="1" x14ac:dyDescent="0.15">
      <c r="G407" s="16"/>
    </row>
    <row r="408" spans="4:7" ht="50.1" customHeight="1" x14ac:dyDescent="0.15">
      <c r="G408" s="16"/>
    </row>
    <row r="409" spans="4:7" ht="50.1" customHeight="1" x14ac:dyDescent="0.15">
      <c r="G409" s="16"/>
    </row>
    <row r="410" spans="4:7" ht="50.1" customHeight="1" x14ac:dyDescent="0.15">
      <c r="G410" s="16"/>
    </row>
    <row r="411" spans="4:7" ht="50.1" customHeight="1" x14ac:dyDescent="0.15">
      <c r="G411" s="16"/>
    </row>
    <row r="412" spans="4:7" ht="50.1" customHeight="1" x14ac:dyDescent="0.15">
      <c r="D412" s="4"/>
      <c r="E412" s="17"/>
      <c r="G412" s="16"/>
    </row>
    <row r="413" spans="4:7" ht="50.1" customHeight="1" x14ac:dyDescent="0.15">
      <c r="G413" s="16"/>
    </row>
    <row r="414" spans="4:7" ht="50.1" customHeight="1" x14ac:dyDescent="0.15">
      <c r="G414" s="16"/>
    </row>
    <row r="415" spans="4:7" ht="50.1" customHeight="1" x14ac:dyDescent="0.15">
      <c r="G415" s="16"/>
    </row>
    <row r="416" spans="4:7" ht="50.1" customHeight="1" x14ac:dyDescent="0.15">
      <c r="G416" s="16"/>
    </row>
    <row r="417" spans="4:7" ht="50.1" customHeight="1" x14ac:dyDescent="0.15">
      <c r="G417" s="16"/>
    </row>
    <row r="418" spans="4:7" ht="50.1" customHeight="1" x14ac:dyDescent="0.15">
      <c r="G418" s="16"/>
    </row>
    <row r="419" spans="4:7" ht="50.1" customHeight="1" x14ac:dyDescent="0.15">
      <c r="G419" s="16"/>
    </row>
    <row r="420" spans="4:7" ht="50.1" customHeight="1" x14ac:dyDescent="0.15">
      <c r="G420" s="16"/>
    </row>
    <row r="421" spans="4:7" ht="50.1" customHeight="1" x14ac:dyDescent="0.15">
      <c r="G421" s="16"/>
    </row>
    <row r="422" spans="4:7" ht="50.1" customHeight="1" x14ac:dyDescent="0.15">
      <c r="G422" s="16"/>
    </row>
    <row r="423" spans="4:7" ht="50.1" customHeight="1" x14ac:dyDescent="0.15">
      <c r="G423" s="16"/>
    </row>
    <row r="424" spans="4:7" ht="50.1" customHeight="1" x14ac:dyDescent="0.15">
      <c r="G424" s="16"/>
    </row>
    <row r="425" spans="4:7" ht="50.1" customHeight="1" x14ac:dyDescent="0.15">
      <c r="G425" s="16"/>
    </row>
    <row r="426" spans="4:7" ht="50.1" customHeight="1" x14ac:dyDescent="0.15">
      <c r="G426" s="16"/>
    </row>
    <row r="427" spans="4:7" ht="50.1" customHeight="1" x14ac:dyDescent="0.15">
      <c r="G427" s="16"/>
    </row>
    <row r="428" spans="4:7" ht="50.1" customHeight="1" x14ac:dyDescent="0.15">
      <c r="G428" s="16"/>
    </row>
    <row r="429" spans="4:7" ht="50.1" customHeight="1" x14ac:dyDescent="0.15">
      <c r="D429" s="4"/>
      <c r="E429" s="17"/>
      <c r="G429" s="16"/>
    </row>
    <row r="430" spans="4:7" ht="50.1" customHeight="1" x14ac:dyDescent="0.15">
      <c r="G430" s="16"/>
    </row>
    <row r="431" spans="4:7" ht="50.1" customHeight="1" x14ac:dyDescent="0.15">
      <c r="G431" s="16"/>
    </row>
    <row r="432" spans="4:7" ht="50.1" customHeight="1" x14ac:dyDescent="0.15">
      <c r="G432" s="16"/>
    </row>
    <row r="433" spans="4:7" ht="50.1" customHeight="1" x14ac:dyDescent="0.15">
      <c r="G433" s="16"/>
    </row>
    <row r="434" spans="4:7" ht="50.1" customHeight="1" x14ac:dyDescent="0.15">
      <c r="G434" s="16"/>
    </row>
    <row r="435" spans="4:7" ht="50.1" customHeight="1" x14ac:dyDescent="0.15">
      <c r="G435" s="16"/>
    </row>
    <row r="436" spans="4:7" ht="50.1" customHeight="1" x14ac:dyDescent="0.15">
      <c r="G436" s="16"/>
    </row>
    <row r="437" spans="4:7" ht="50.1" customHeight="1" x14ac:dyDescent="0.15">
      <c r="G437" s="16"/>
    </row>
    <row r="438" spans="4:7" ht="50.1" customHeight="1" x14ac:dyDescent="0.15">
      <c r="G438" s="16"/>
    </row>
    <row r="439" spans="4:7" ht="50.1" customHeight="1" x14ac:dyDescent="0.15">
      <c r="G439" s="16"/>
    </row>
    <row r="440" spans="4:7" ht="50.1" customHeight="1" x14ac:dyDescent="0.15">
      <c r="G440" s="16"/>
    </row>
    <row r="441" spans="4:7" ht="50.1" customHeight="1" x14ac:dyDescent="0.15">
      <c r="G441" s="16"/>
    </row>
    <row r="442" spans="4:7" ht="50.1" customHeight="1" x14ac:dyDescent="0.15">
      <c r="G442" s="16"/>
    </row>
    <row r="443" spans="4:7" ht="50.1" customHeight="1" x14ac:dyDescent="0.15">
      <c r="G443" s="16"/>
    </row>
    <row r="444" spans="4:7" ht="50.1" customHeight="1" x14ac:dyDescent="0.15">
      <c r="G444" s="16"/>
    </row>
    <row r="445" spans="4:7" ht="50.1" customHeight="1" x14ac:dyDescent="0.15">
      <c r="G445" s="16"/>
    </row>
    <row r="446" spans="4:7" ht="50.1" customHeight="1" x14ac:dyDescent="0.15">
      <c r="G446" s="16"/>
    </row>
    <row r="447" spans="4:7" ht="50.1" customHeight="1" x14ac:dyDescent="0.15">
      <c r="D447" s="4"/>
      <c r="E447" s="17"/>
      <c r="G447" s="16"/>
    </row>
    <row r="448" spans="4:7" ht="50.1" customHeight="1" x14ac:dyDescent="0.15">
      <c r="G448" s="16"/>
    </row>
    <row r="449" spans="4:7" ht="50.1" customHeight="1" x14ac:dyDescent="0.15">
      <c r="G449" s="16"/>
    </row>
    <row r="450" spans="4:7" ht="50.1" customHeight="1" x14ac:dyDescent="0.15">
      <c r="G450" s="16"/>
    </row>
    <row r="451" spans="4:7" ht="50.1" customHeight="1" x14ac:dyDescent="0.15">
      <c r="D451" s="4"/>
      <c r="E451" s="17"/>
      <c r="G451" s="16"/>
    </row>
    <row r="452" spans="4:7" ht="50.1" customHeight="1" x14ac:dyDescent="0.15">
      <c r="G452" s="16"/>
    </row>
    <row r="453" spans="4:7" ht="50.1" customHeight="1" x14ac:dyDescent="0.15">
      <c r="G453" s="16"/>
    </row>
    <row r="454" spans="4:7" ht="50.1" customHeight="1" x14ac:dyDescent="0.15">
      <c r="G454" s="16"/>
    </row>
    <row r="455" spans="4:7" ht="50.1" customHeight="1" x14ac:dyDescent="0.15">
      <c r="G455" s="16"/>
    </row>
    <row r="456" spans="4:7" ht="50.1" customHeight="1" x14ac:dyDescent="0.15">
      <c r="G456" s="16"/>
    </row>
    <row r="457" spans="4:7" ht="50.1" customHeight="1" x14ac:dyDescent="0.15">
      <c r="G457" s="16"/>
    </row>
    <row r="458" spans="4:7" ht="50.1" customHeight="1" x14ac:dyDescent="0.15">
      <c r="G458" s="16"/>
    </row>
    <row r="459" spans="4:7" ht="50.1" customHeight="1" x14ac:dyDescent="0.15">
      <c r="G459" s="16"/>
    </row>
    <row r="460" spans="4:7" ht="50.1" customHeight="1" x14ac:dyDescent="0.15">
      <c r="G460" s="16"/>
    </row>
    <row r="461" spans="4:7" ht="50.1" customHeight="1" x14ac:dyDescent="0.15">
      <c r="G461" s="16"/>
    </row>
    <row r="462" spans="4:7" ht="50.1" customHeight="1" x14ac:dyDescent="0.15">
      <c r="G462" s="16"/>
    </row>
    <row r="463" spans="4:7" ht="50.1" customHeight="1" x14ac:dyDescent="0.15">
      <c r="G463" s="16"/>
    </row>
    <row r="464" spans="4:7" ht="50.1" customHeight="1" x14ac:dyDescent="0.15">
      <c r="G464" s="16"/>
    </row>
    <row r="465" spans="4:7" ht="50.1" customHeight="1" x14ac:dyDescent="0.15">
      <c r="G465" s="16"/>
    </row>
    <row r="466" spans="4:7" ht="50.1" customHeight="1" x14ac:dyDescent="0.15">
      <c r="G466" s="16"/>
    </row>
    <row r="467" spans="4:7" ht="50.1" customHeight="1" x14ac:dyDescent="0.15">
      <c r="D467" s="4"/>
      <c r="E467" s="17"/>
      <c r="G467" s="16"/>
    </row>
    <row r="468" spans="4:7" ht="50.1" customHeight="1" x14ac:dyDescent="0.15">
      <c r="G468" s="16"/>
    </row>
    <row r="469" spans="4:7" ht="50.1" customHeight="1" x14ac:dyDescent="0.15">
      <c r="G469" s="16"/>
    </row>
    <row r="470" spans="4:7" ht="50.1" customHeight="1" x14ac:dyDescent="0.15">
      <c r="G470" s="16"/>
    </row>
    <row r="471" spans="4:7" ht="50.1" customHeight="1" x14ac:dyDescent="0.15">
      <c r="G471" s="16"/>
    </row>
    <row r="472" spans="4:7" ht="50.1" customHeight="1" x14ac:dyDescent="0.15">
      <c r="G472" s="16"/>
    </row>
    <row r="473" spans="4:7" ht="50.1" customHeight="1" x14ac:dyDescent="0.15">
      <c r="G473" s="16"/>
    </row>
    <row r="474" spans="4:7" ht="50.1" customHeight="1" x14ac:dyDescent="0.15">
      <c r="G474" s="16"/>
    </row>
    <row r="475" spans="4:7" ht="50.1" customHeight="1" x14ac:dyDescent="0.15">
      <c r="G475" s="16"/>
    </row>
    <row r="476" spans="4:7" ht="50.1" customHeight="1" x14ac:dyDescent="0.15">
      <c r="G476" s="16"/>
    </row>
    <row r="477" spans="4:7" ht="50.1" customHeight="1" x14ac:dyDescent="0.15">
      <c r="G477" s="16"/>
    </row>
    <row r="478" spans="4:7" ht="50.1" customHeight="1" x14ac:dyDescent="0.15">
      <c r="G478" s="16"/>
    </row>
    <row r="479" spans="4:7" ht="50.1" customHeight="1" x14ac:dyDescent="0.15">
      <c r="G479" s="16"/>
    </row>
    <row r="480" spans="4:7" ht="50.1" customHeight="1" x14ac:dyDescent="0.15">
      <c r="G480" s="16"/>
    </row>
    <row r="481" spans="4:7" ht="50.1" customHeight="1" x14ac:dyDescent="0.15">
      <c r="G481" s="16"/>
    </row>
    <row r="482" spans="4:7" ht="50.1" customHeight="1" x14ac:dyDescent="0.15">
      <c r="D482" s="4"/>
      <c r="E482" s="17"/>
      <c r="G482" s="16"/>
    </row>
    <row r="483" spans="4:7" ht="50.1" customHeight="1" x14ac:dyDescent="0.15">
      <c r="G483" s="16"/>
    </row>
    <row r="484" spans="4:7" ht="50.1" customHeight="1" x14ac:dyDescent="0.15">
      <c r="G484" s="16"/>
    </row>
    <row r="485" spans="4:7" ht="50.1" customHeight="1" x14ac:dyDescent="0.15">
      <c r="G485" s="16"/>
    </row>
    <row r="486" spans="4:7" ht="50.1" customHeight="1" x14ac:dyDescent="0.15">
      <c r="G486" s="16"/>
    </row>
    <row r="487" spans="4:7" ht="50.1" customHeight="1" x14ac:dyDescent="0.15">
      <c r="G487" s="16"/>
    </row>
    <row r="488" spans="4:7" ht="50.1" customHeight="1" x14ac:dyDescent="0.15">
      <c r="G488" s="16"/>
    </row>
    <row r="489" spans="4:7" ht="50.1" customHeight="1" x14ac:dyDescent="0.15">
      <c r="D489" s="4"/>
      <c r="E489" s="17"/>
      <c r="G489" s="16"/>
    </row>
    <row r="490" spans="4:7" ht="50.1" customHeight="1" x14ac:dyDescent="0.15">
      <c r="G490" s="16"/>
    </row>
    <row r="491" spans="4:7" ht="50.1" customHeight="1" x14ac:dyDescent="0.15">
      <c r="G491" s="16"/>
    </row>
    <row r="492" spans="4:7" ht="50.1" customHeight="1" x14ac:dyDescent="0.15">
      <c r="G492" s="16"/>
    </row>
    <row r="493" spans="4:7" ht="50.1" customHeight="1" x14ac:dyDescent="0.15">
      <c r="D493" s="4"/>
      <c r="E493" s="17"/>
      <c r="G493" s="16"/>
    </row>
    <row r="494" spans="4:7" ht="50.1" customHeight="1" x14ac:dyDescent="0.15">
      <c r="G494" s="16"/>
    </row>
    <row r="495" spans="4:7" ht="50.1" customHeight="1" x14ac:dyDescent="0.15">
      <c r="G495" s="16"/>
    </row>
    <row r="496" spans="4:7" ht="50.1" customHeight="1" x14ac:dyDescent="0.15">
      <c r="G496" s="16"/>
    </row>
    <row r="497" spans="7:7" ht="50.1" customHeight="1" x14ac:dyDescent="0.15">
      <c r="G497" s="16"/>
    </row>
    <row r="498" spans="7:7" ht="50.1" customHeight="1" x14ac:dyDescent="0.15">
      <c r="G498" s="16"/>
    </row>
    <row r="499" spans="7:7" ht="50.1" customHeight="1" x14ac:dyDescent="0.15">
      <c r="G499" s="16"/>
    </row>
    <row r="500" spans="7:7" ht="50.1" customHeight="1" x14ac:dyDescent="0.15">
      <c r="G500" s="16"/>
    </row>
  </sheetData>
  <phoneticPr fontId="1" type="noConversion"/>
  <pageMargins left="0.75" right="0.75" top="1" bottom="1" header="0.51111111111111107" footer="0.51111111111111107"/>
  <pageSetup paperSize="9" firstPageNumber="4294963191"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CD5498-770B-49E1-AC00-086D10B9C86A}">
  <sheetPr codeName="Sheet3"/>
  <dimension ref="A1:G500"/>
  <sheetViews>
    <sheetView zoomScale="85" zoomScaleNormal="85" zoomScaleSheetLayoutView="100" workbookViewId="0">
      <selection activeCell="E10" sqref="E10"/>
    </sheetView>
  </sheetViews>
  <sheetFormatPr defaultColWidth="10.625" defaultRowHeight="50.1" customHeight="1" x14ac:dyDescent="0.15"/>
  <cols>
    <col min="1" max="3" width="10.625" style="1"/>
    <col min="4" max="4" width="30.625" style="15" customWidth="1"/>
    <col min="5" max="5" width="30.625" style="11" customWidth="1"/>
    <col min="6" max="6" width="50.625" style="52" customWidth="1"/>
    <col min="7" max="7" width="200.625" style="14" customWidth="1"/>
    <col min="8" max="16384" width="10.625" style="1"/>
  </cols>
  <sheetData>
    <row r="1" spans="1:7" ht="50.1" customHeight="1" x14ac:dyDescent="0.15">
      <c r="A1" s="23" t="s">
        <v>0</v>
      </c>
      <c r="B1" s="23">
        <f>colorfunction(C1,D1:D500,FALSE)</f>
        <v>0</v>
      </c>
      <c r="C1" s="10"/>
      <c r="G1" s="16"/>
    </row>
    <row r="2" spans="1:7" ht="50.1" customHeight="1" x14ac:dyDescent="0.15">
      <c r="A2" s="23" t="s">
        <v>1</v>
      </c>
      <c r="B2" s="23">
        <f>colorfunction(C2,D1:D500,FALSE)</f>
        <v>0</v>
      </c>
      <c r="C2" s="12"/>
      <c r="G2" s="16"/>
    </row>
    <row r="3" spans="1:7" ht="50.1" customHeight="1" x14ac:dyDescent="0.15">
      <c r="A3" s="23" t="s">
        <v>2</v>
      </c>
      <c r="B3" s="23">
        <f>colorfunction(C3,D1:D500,FALSE)</f>
        <v>0</v>
      </c>
      <c r="C3" s="13"/>
      <c r="D3" s="4"/>
      <c r="E3" s="17"/>
      <c r="G3" s="16"/>
    </row>
    <row r="4" spans="1:7" ht="50.1" customHeight="1" x14ac:dyDescent="0.15">
      <c r="A4" s="23" t="s">
        <v>3</v>
      </c>
      <c r="B4" s="24" t="e">
        <f>B1/(B1+B2+B3)</f>
        <v>#DIV/0!</v>
      </c>
      <c r="G4" s="16"/>
    </row>
    <row r="5" spans="1:7" ht="50.1" customHeight="1" x14ac:dyDescent="0.15">
      <c r="A5" s="23" t="s">
        <v>4</v>
      </c>
      <c r="B5" s="24" t="e">
        <f>(B1 + B2) / (B1+B2+B3)</f>
        <v>#DIV/0!</v>
      </c>
      <c r="G5" s="16"/>
    </row>
    <row r="6" spans="1:7" ht="50.1" customHeight="1" x14ac:dyDescent="0.15">
      <c r="A6" s="23" t="s">
        <v>5</v>
      </c>
      <c r="B6" s="23">
        <f xml:space="preserve"> B1 + B2 +B3</f>
        <v>0</v>
      </c>
      <c r="G6" s="16"/>
    </row>
    <row r="7" spans="1:7" ht="50.1" customHeight="1" x14ac:dyDescent="0.15">
      <c r="A7" s="23" t="s">
        <v>6</v>
      </c>
      <c r="B7" s="23">
        <f>COUNTA(D1:D500)</f>
        <v>1</v>
      </c>
      <c r="G7" s="16"/>
    </row>
    <row r="8" spans="1:7" ht="50.1" customHeight="1" x14ac:dyDescent="0.15">
      <c r="A8" s="23" t="s">
        <v>7</v>
      </c>
      <c r="B8" s="25">
        <f>B6 / B7</f>
        <v>0</v>
      </c>
      <c r="G8" s="16"/>
    </row>
    <row r="9" spans="1:7" ht="50.1" customHeight="1" x14ac:dyDescent="0.15">
      <c r="G9" s="16"/>
    </row>
    <row r="10" spans="1:7" ht="50.1" customHeight="1" x14ac:dyDescent="0.15">
      <c r="G10" s="16"/>
    </row>
    <row r="11" spans="1:7" ht="50.1" customHeight="1" x14ac:dyDescent="0.15">
      <c r="D11" s="15" t="s">
        <v>458</v>
      </c>
      <c r="G11" s="16"/>
    </row>
    <row r="12" spans="1:7" ht="50.1" customHeight="1" x14ac:dyDescent="0.15">
      <c r="G12" s="16"/>
    </row>
    <row r="13" spans="1:7" ht="50.1" customHeight="1" x14ac:dyDescent="0.15">
      <c r="G13" s="16"/>
    </row>
    <row r="14" spans="1:7" ht="50.1" customHeight="1" x14ac:dyDescent="0.15">
      <c r="G14" s="16"/>
    </row>
    <row r="15" spans="1:7" ht="50.1" customHeight="1" x14ac:dyDescent="0.15">
      <c r="G15" s="16"/>
    </row>
    <row r="16" spans="1:7" ht="50.1" customHeight="1" x14ac:dyDescent="0.15">
      <c r="G16" s="16"/>
    </row>
    <row r="17" spans="7:7" ht="50.1" customHeight="1" x14ac:dyDescent="0.15">
      <c r="G17" s="16"/>
    </row>
    <row r="18" spans="7:7" ht="50.1" customHeight="1" x14ac:dyDescent="0.15">
      <c r="G18" s="16"/>
    </row>
    <row r="19" spans="7:7" ht="50.1" customHeight="1" x14ac:dyDescent="0.15">
      <c r="G19" s="16"/>
    </row>
    <row r="20" spans="7:7" ht="50.1" customHeight="1" x14ac:dyDescent="0.15">
      <c r="G20" s="16"/>
    </row>
    <row r="21" spans="7:7" ht="50.1" customHeight="1" x14ac:dyDescent="0.15">
      <c r="G21" s="16"/>
    </row>
    <row r="22" spans="7:7" ht="50.1" customHeight="1" x14ac:dyDescent="0.15">
      <c r="G22" s="16"/>
    </row>
    <row r="23" spans="7:7" ht="50.1" customHeight="1" x14ac:dyDescent="0.15">
      <c r="G23" s="16"/>
    </row>
    <row r="24" spans="7:7" ht="50.1" customHeight="1" x14ac:dyDescent="0.15">
      <c r="G24" s="16"/>
    </row>
    <row r="25" spans="7:7" ht="50.1" customHeight="1" x14ac:dyDescent="0.15">
      <c r="G25" s="16"/>
    </row>
    <row r="26" spans="7:7" ht="50.1" customHeight="1" x14ac:dyDescent="0.15">
      <c r="G26" s="16"/>
    </row>
    <row r="27" spans="7:7" ht="50.1" customHeight="1" x14ac:dyDescent="0.15">
      <c r="G27" s="16"/>
    </row>
    <row r="28" spans="7:7" ht="50.1" customHeight="1" x14ac:dyDescent="0.15">
      <c r="G28" s="16"/>
    </row>
    <row r="29" spans="7:7" ht="50.1" customHeight="1" x14ac:dyDescent="0.15">
      <c r="G29" s="16"/>
    </row>
    <row r="30" spans="7:7" ht="50.1" customHeight="1" x14ac:dyDescent="0.15">
      <c r="G30" s="16"/>
    </row>
    <row r="31" spans="7:7" ht="50.1" customHeight="1" x14ac:dyDescent="0.15">
      <c r="G31" s="16"/>
    </row>
    <row r="32" spans="7:7" ht="50.1" customHeight="1" x14ac:dyDescent="0.15">
      <c r="G32" s="16"/>
    </row>
    <row r="33" spans="4:7" ht="50.1" customHeight="1" x14ac:dyDescent="0.15">
      <c r="G33" s="16"/>
    </row>
    <row r="34" spans="4:7" ht="50.1" customHeight="1" x14ac:dyDescent="0.15">
      <c r="G34" s="16"/>
    </row>
    <row r="35" spans="4:7" ht="50.1" customHeight="1" x14ac:dyDescent="0.15">
      <c r="G35" s="16"/>
    </row>
    <row r="36" spans="4:7" ht="50.1" customHeight="1" x14ac:dyDescent="0.15">
      <c r="D36" s="4"/>
      <c r="E36" s="17"/>
      <c r="G36" s="16"/>
    </row>
    <row r="37" spans="4:7" ht="50.1" customHeight="1" x14ac:dyDescent="0.15">
      <c r="G37" s="16"/>
    </row>
    <row r="38" spans="4:7" ht="50.1" customHeight="1" x14ac:dyDescent="0.15">
      <c r="G38" s="16"/>
    </row>
    <row r="39" spans="4:7" ht="50.1" customHeight="1" x14ac:dyDescent="0.15">
      <c r="G39" s="16"/>
    </row>
    <row r="40" spans="4:7" ht="50.1" customHeight="1" x14ac:dyDescent="0.15">
      <c r="G40" s="16"/>
    </row>
    <row r="41" spans="4:7" ht="50.1" customHeight="1" x14ac:dyDescent="0.15">
      <c r="G41" s="16"/>
    </row>
    <row r="42" spans="4:7" ht="50.1" customHeight="1" x14ac:dyDescent="0.15">
      <c r="G42" s="16"/>
    </row>
    <row r="43" spans="4:7" ht="50.1" customHeight="1" x14ac:dyDescent="0.15">
      <c r="D43" s="4"/>
      <c r="E43" s="17"/>
      <c r="G43" s="16"/>
    </row>
    <row r="44" spans="4:7" ht="50.1" customHeight="1" x14ac:dyDescent="0.15">
      <c r="G44" s="16"/>
    </row>
    <row r="45" spans="4:7" ht="50.1" customHeight="1" x14ac:dyDescent="0.15">
      <c r="G45" s="16"/>
    </row>
    <row r="46" spans="4:7" ht="50.1" customHeight="1" x14ac:dyDescent="0.15">
      <c r="G46" s="16"/>
    </row>
    <row r="47" spans="4:7" ht="50.1" customHeight="1" x14ac:dyDescent="0.15">
      <c r="G47" s="16"/>
    </row>
    <row r="48" spans="4:7" ht="50.1" customHeight="1" x14ac:dyDescent="0.15">
      <c r="G48" s="16"/>
    </row>
    <row r="49" spans="4:7" ht="50.1" customHeight="1" x14ac:dyDescent="0.15">
      <c r="G49" s="16"/>
    </row>
    <row r="50" spans="4:7" ht="50.1" customHeight="1" x14ac:dyDescent="0.15">
      <c r="G50" s="16"/>
    </row>
    <row r="51" spans="4:7" ht="50.1" customHeight="1" x14ac:dyDescent="0.15">
      <c r="G51" s="16"/>
    </row>
    <row r="52" spans="4:7" ht="50.1" customHeight="1" x14ac:dyDescent="0.15">
      <c r="D52" s="4"/>
      <c r="E52" s="17"/>
      <c r="G52" s="16"/>
    </row>
    <row r="53" spans="4:7" ht="50.1" customHeight="1" x14ac:dyDescent="0.15">
      <c r="G53" s="16"/>
    </row>
    <row r="54" spans="4:7" ht="50.1" customHeight="1" x14ac:dyDescent="0.15">
      <c r="G54" s="16"/>
    </row>
    <row r="55" spans="4:7" ht="50.1" customHeight="1" x14ac:dyDescent="0.15">
      <c r="G55" s="16"/>
    </row>
    <row r="56" spans="4:7" ht="50.1" customHeight="1" x14ac:dyDescent="0.15">
      <c r="G56" s="16"/>
    </row>
    <row r="57" spans="4:7" ht="50.1" customHeight="1" x14ac:dyDescent="0.15">
      <c r="G57" s="16"/>
    </row>
    <row r="58" spans="4:7" ht="50.1" customHeight="1" x14ac:dyDescent="0.15">
      <c r="G58" s="16"/>
    </row>
    <row r="59" spans="4:7" ht="50.1" customHeight="1" x14ac:dyDescent="0.15">
      <c r="G59" s="16"/>
    </row>
    <row r="60" spans="4:7" ht="50.1" customHeight="1" x14ac:dyDescent="0.15">
      <c r="D60" s="4"/>
      <c r="E60" s="17"/>
      <c r="G60" s="16"/>
    </row>
    <row r="61" spans="4:7" ht="50.1" customHeight="1" x14ac:dyDescent="0.15">
      <c r="G61" s="16"/>
    </row>
    <row r="62" spans="4:7" ht="50.1" customHeight="1" x14ac:dyDescent="0.15">
      <c r="G62" s="16"/>
    </row>
    <row r="63" spans="4:7" ht="50.1" customHeight="1" x14ac:dyDescent="0.15">
      <c r="G63" s="16"/>
    </row>
    <row r="64" spans="4:7" ht="50.1" customHeight="1" x14ac:dyDescent="0.15">
      <c r="G64" s="16"/>
    </row>
    <row r="65" spans="4:7" ht="50.1" customHeight="1" x14ac:dyDescent="0.15">
      <c r="G65" s="16"/>
    </row>
    <row r="66" spans="4:7" ht="50.1" customHeight="1" x14ac:dyDescent="0.15">
      <c r="G66" s="16"/>
    </row>
    <row r="67" spans="4:7" ht="50.1" customHeight="1" x14ac:dyDescent="0.15">
      <c r="G67" s="16"/>
    </row>
    <row r="68" spans="4:7" ht="50.1" customHeight="1" x14ac:dyDescent="0.15">
      <c r="D68" s="4"/>
      <c r="E68" s="17"/>
      <c r="G68" s="16"/>
    </row>
    <row r="69" spans="4:7" ht="50.1" customHeight="1" x14ac:dyDescent="0.15">
      <c r="G69" s="16"/>
    </row>
    <row r="70" spans="4:7" ht="50.1" customHeight="1" x14ac:dyDescent="0.15">
      <c r="G70" s="16"/>
    </row>
    <row r="71" spans="4:7" ht="50.1" customHeight="1" x14ac:dyDescent="0.15">
      <c r="G71" s="16"/>
    </row>
    <row r="72" spans="4:7" ht="50.1" customHeight="1" x14ac:dyDescent="0.15">
      <c r="G72" s="16"/>
    </row>
    <row r="73" spans="4:7" ht="50.1" customHeight="1" x14ac:dyDescent="0.15">
      <c r="D73" s="4"/>
      <c r="E73" s="17"/>
      <c r="G73" s="16"/>
    </row>
    <row r="74" spans="4:7" ht="50.1" customHeight="1" x14ac:dyDescent="0.15">
      <c r="G74" s="16"/>
    </row>
    <row r="75" spans="4:7" ht="50.1" customHeight="1" x14ac:dyDescent="0.15">
      <c r="G75" s="16"/>
    </row>
    <row r="76" spans="4:7" ht="50.1" customHeight="1" x14ac:dyDescent="0.15">
      <c r="D76" s="4"/>
      <c r="E76" s="17"/>
      <c r="G76" s="16"/>
    </row>
    <row r="77" spans="4:7" ht="50.1" customHeight="1" x14ac:dyDescent="0.15">
      <c r="G77" s="16"/>
    </row>
    <row r="78" spans="4:7" ht="50.1" customHeight="1" x14ac:dyDescent="0.15">
      <c r="G78" s="16"/>
    </row>
    <row r="79" spans="4:7" ht="50.1" customHeight="1" x14ac:dyDescent="0.15">
      <c r="G79" s="16"/>
    </row>
    <row r="80" spans="4:7" ht="50.1" customHeight="1" x14ac:dyDescent="0.15">
      <c r="G80" s="16"/>
    </row>
    <row r="81" spans="4:7" ht="50.1" customHeight="1" x14ac:dyDescent="0.15">
      <c r="D81" s="4"/>
      <c r="E81" s="17"/>
      <c r="G81" s="16"/>
    </row>
    <row r="82" spans="4:7" ht="50.1" customHeight="1" x14ac:dyDescent="0.15">
      <c r="G82" s="16"/>
    </row>
    <row r="83" spans="4:7" ht="50.1" customHeight="1" x14ac:dyDescent="0.15">
      <c r="G83" s="16"/>
    </row>
    <row r="84" spans="4:7" ht="50.1" customHeight="1" x14ac:dyDescent="0.15">
      <c r="G84" s="16"/>
    </row>
    <row r="85" spans="4:7" ht="50.1" customHeight="1" x14ac:dyDescent="0.15">
      <c r="G85" s="16"/>
    </row>
    <row r="86" spans="4:7" ht="50.1" customHeight="1" x14ac:dyDescent="0.15">
      <c r="G86" s="16"/>
    </row>
    <row r="87" spans="4:7" ht="50.1" customHeight="1" x14ac:dyDescent="0.15">
      <c r="G87" s="16"/>
    </row>
    <row r="88" spans="4:7" ht="50.1" customHeight="1" x14ac:dyDescent="0.15">
      <c r="G88" s="16"/>
    </row>
    <row r="89" spans="4:7" ht="50.1" customHeight="1" x14ac:dyDescent="0.15">
      <c r="G89" s="16"/>
    </row>
    <row r="90" spans="4:7" ht="50.1" customHeight="1" x14ac:dyDescent="0.15">
      <c r="G90" s="16"/>
    </row>
    <row r="91" spans="4:7" ht="50.1" customHeight="1" x14ac:dyDescent="0.15">
      <c r="G91" s="16"/>
    </row>
    <row r="92" spans="4:7" ht="50.1" customHeight="1" x14ac:dyDescent="0.15">
      <c r="G92" s="16"/>
    </row>
    <row r="93" spans="4:7" ht="50.1" customHeight="1" x14ac:dyDescent="0.15">
      <c r="D93" s="4"/>
      <c r="E93" s="17"/>
      <c r="G93" s="16"/>
    </row>
    <row r="94" spans="4:7" ht="50.1" customHeight="1" x14ac:dyDescent="0.15">
      <c r="G94" s="16"/>
    </row>
    <row r="95" spans="4:7" ht="50.1" customHeight="1" x14ac:dyDescent="0.15">
      <c r="G95" s="16"/>
    </row>
    <row r="96" spans="4:7" ht="50.1" customHeight="1" x14ac:dyDescent="0.15">
      <c r="D96" s="4"/>
      <c r="E96" s="17"/>
      <c r="G96" s="16"/>
    </row>
    <row r="97" spans="4:7" ht="50.1" customHeight="1" x14ac:dyDescent="0.15">
      <c r="G97" s="16"/>
    </row>
    <row r="98" spans="4:7" ht="50.1" customHeight="1" x14ac:dyDescent="0.15">
      <c r="G98" s="16"/>
    </row>
    <row r="99" spans="4:7" ht="50.1" customHeight="1" x14ac:dyDescent="0.15">
      <c r="G99" s="16"/>
    </row>
    <row r="100" spans="4:7" ht="50.1" customHeight="1" x14ac:dyDescent="0.15">
      <c r="G100" s="16"/>
    </row>
    <row r="101" spans="4:7" ht="50.1" customHeight="1" x14ac:dyDescent="0.15">
      <c r="D101" s="4"/>
      <c r="E101" s="17"/>
      <c r="G101" s="16"/>
    </row>
    <row r="102" spans="4:7" ht="50.1" customHeight="1" x14ac:dyDescent="0.15">
      <c r="D102" s="4"/>
      <c r="E102" s="17"/>
      <c r="G102" s="16"/>
    </row>
    <row r="103" spans="4:7" ht="50.1" customHeight="1" x14ac:dyDescent="0.15">
      <c r="G103" s="16"/>
    </row>
    <row r="104" spans="4:7" ht="50.1" customHeight="1" x14ac:dyDescent="0.15">
      <c r="G104" s="16"/>
    </row>
    <row r="105" spans="4:7" ht="50.1" customHeight="1" x14ac:dyDescent="0.15">
      <c r="D105" s="4"/>
      <c r="E105" s="17"/>
      <c r="G105" s="16"/>
    </row>
    <row r="106" spans="4:7" ht="50.1" customHeight="1" x14ac:dyDescent="0.15">
      <c r="G106" s="16"/>
    </row>
    <row r="107" spans="4:7" ht="50.1" customHeight="1" x14ac:dyDescent="0.15">
      <c r="D107" s="4"/>
      <c r="E107" s="17"/>
      <c r="G107" s="16"/>
    </row>
    <row r="108" spans="4:7" ht="50.1" customHeight="1" x14ac:dyDescent="0.15">
      <c r="G108" s="16"/>
    </row>
    <row r="109" spans="4:7" ht="50.1" customHeight="1" x14ac:dyDescent="0.15">
      <c r="G109" s="16"/>
    </row>
    <row r="110" spans="4:7" ht="50.1" customHeight="1" x14ac:dyDescent="0.15">
      <c r="G110" s="16"/>
    </row>
    <row r="111" spans="4:7" ht="50.1" customHeight="1" x14ac:dyDescent="0.15">
      <c r="G111" s="16"/>
    </row>
    <row r="112" spans="4:7" ht="50.1" customHeight="1" x14ac:dyDescent="0.15">
      <c r="G112" s="16"/>
    </row>
    <row r="113" spans="4:7" ht="50.1" customHeight="1" x14ac:dyDescent="0.15">
      <c r="G113" s="16"/>
    </row>
    <row r="114" spans="4:7" ht="50.1" customHeight="1" x14ac:dyDescent="0.15">
      <c r="G114" s="16"/>
    </row>
    <row r="115" spans="4:7" ht="50.1" customHeight="1" x14ac:dyDescent="0.15">
      <c r="G115" s="16"/>
    </row>
    <row r="116" spans="4:7" ht="50.1" customHeight="1" x14ac:dyDescent="0.15">
      <c r="G116" s="16"/>
    </row>
    <row r="117" spans="4:7" ht="50.1" customHeight="1" x14ac:dyDescent="0.15">
      <c r="D117" s="4"/>
      <c r="E117" s="17"/>
      <c r="G117" s="16"/>
    </row>
    <row r="118" spans="4:7" ht="50.1" customHeight="1" x14ac:dyDescent="0.15">
      <c r="G118" s="16"/>
    </row>
    <row r="119" spans="4:7" ht="50.1" customHeight="1" x14ac:dyDescent="0.15">
      <c r="G119" s="16"/>
    </row>
    <row r="120" spans="4:7" ht="50.1" customHeight="1" x14ac:dyDescent="0.15">
      <c r="G120" s="16"/>
    </row>
    <row r="121" spans="4:7" ht="50.1" customHeight="1" x14ac:dyDescent="0.15">
      <c r="G121" s="16"/>
    </row>
    <row r="122" spans="4:7" ht="50.1" customHeight="1" x14ac:dyDescent="0.15">
      <c r="G122" s="16"/>
    </row>
    <row r="123" spans="4:7" ht="50.1" customHeight="1" x14ac:dyDescent="0.15">
      <c r="G123" s="16"/>
    </row>
    <row r="124" spans="4:7" ht="50.1" customHeight="1" x14ac:dyDescent="0.15">
      <c r="G124" s="16"/>
    </row>
    <row r="125" spans="4:7" ht="50.1" customHeight="1" x14ac:dyDescent="0.15">
      <c r="D125" s="4"/>
      <c r="E125" s="17"/>
      <c r="G125" s="16"/>
    </row>
    <row r="126" spans="4:7" ht="50.1" customHeight="1" x14ac:dyDescent="0.15">
      <c r="G126" s="16"/>
    </row>
    <row r="127" spans="4:7" ht="50.1" customHeight="1" x14ac:dyDescent="0.15">
      <c r="G127" s="16"/>
    </row>
    <row r="128" spans="4:7" ht="50.1" customHeight="1" x14ac:dyDescent="0.15">
      <c r="G128" s="16"/>
    </row>
    <row r="129" spans="4:7" ht="50.1" customHeight="1" x14ac:dyDescent="0.15">
      <c r="G129" s="16"/>
    </row>
    <row r="130" spans="4:7" ht="50.1" customHeight="1" x14ac:dyDescent="0.15">
      <c r="G130" s="16"/>
    </row>
    <row r="131" spans="4:7" ht="50.1" customHeight="1" x14ac:dyDescent="0.15">
      <c r="G131" s="16"/>
    </row>
    <row r="132" spans="4:7" ht="50.1" customHeight="1" x14ac:dyDescent="0.15">
      <c r="G132" s="16"/>
    </row>
    <row r="133" spans="4:7" ht="50.1" customHeight="1" x14ac:dyDescent="0.15">
      <c r="D133" s="4"/>
      <c r="E133" s="17"/>
      <c r="G133" s="16"/>
    </row>
    <row r="134" spans="4:7" ht="50.1" customHeight="1" x14ac:dyDescent="0.15">
      <c r="G134" s="16"/>
    </row>
    <row r="135" spans="4:7" ht="50.1" customHeight="1" x14ac:dyDescent="0.15">
      <c r="G135" s="16"/>
    </row>
    <row r="136" spans="4:7" ht="50.1" customHeight="1" x14ac:dyDescent="0.15">
      <c r="G136" s="16"/>
    </row>
    <row r="137" spans="4:7" ht="50.1" customHeight="1" x14ac:dyDescent="0.15">
      <c r="G137" s="16"/>
    </row>
    <row r="138" spans="4:7" ht="50.1" customHeight="1" x14ac:dyDescent="0.15">
      <c r="G138" s="16"/>
    </row>
    <row r="139" spans="4:7" ht="50.1" customHeight="1" x14ac:dyDescent="0.15">
      <c r="G139" s="16"/>
    </row>
    <row r="140" spans="4:7" ht="50.1" customHeight="1" x14ac:dyDescent="0.15">
      <c r="G140" s="16"/>
    </row>
    <row r="141" spans="4:7" ht="50.1" customHeight="1" x14ac:dyDescent="0.15">
      <c r="G141" s="16"/>
    </row>
    <row r="142" spans="4:7" ht="50.1" customHeight="1" x14ac:dyDescent="0.15">
      <c r="G142" s="16"/>
    </row>
    <row r="143" spans="4:7" ht="50.1" customHeight="1" x14ac:dyDescent="0.15">
      <c r="G143" s="16"/>
    </row>
    <row r="144" spans="4:7" ht="50.1" customHeight="1" x14ac:dyDescent="0.15">
      <c r="G144" s="16"/>
    </row>
    <row r="145" spans="4:7" ht="50.1" customHeight="1" x14ac:dyDescent="0.15">
      <c r="G145" s="16"/>
    </row>
    <row r="146" spans="4:7" ht="50.1" customHeight="1" x14ac:dyDescent="0.15">
      <c r="G146" s="16"/>
    </row>
    <row r="147" spans="4:7" ht="50.1" customHeight="1" x14ac:dyDescent="0.15">
      <c r="G147" s="16"/>
    </row>
    <row r="148" spans="4:7" ht="50.1" customHeight="1" x14ac:dyDescent="0.15">
      <c r="G148" s="16"/>
    </row>
    <row r="149" spans="4:7" ht="50.1" customHeight="1" x14ac:dyDescent="0.15">
      <c r="G149" s="16"/>
    </row>
    <row r="150" spans="4:7" ht="50.1" customHeight="1" x14ac:dyDescent="0.15">
      <c r="G150" s="16"/>
    </row>
    <row r="151" spans="4:7" ht="50.1" customHeight="1" x14ac:dyDescent="0.15">
      <c r="G151" s="16"/>
    </row>
    <row r="152" spans="4:7" ht="50.1" customHeight="1" x14ac:dyDescent="0.15">
      <c r="G152" s="16"/>
    </row>
    <row r="153" spans="4:7" ht="50.1" customHeight="1" x14ac:dyDescent="0.15">
      <c r="G153" s="16"/>
    </row>
    <row r="154" spans="4:7" ht="50.1" customHeight="1" x14ac:dyDescent="0.15">
      <c r="D154" s="4"/>
      <c r="E154" s="17"/>
      <c r="G154" s="16"/>
    </row>
    <row r="155" spans="4:7" ht="50.1" customHeight="1" x14ac:dyDescent="0.15">
      <c r="G155" s="16"/>
    </row>
    <row r="156" spans="4:7" ht="50.1" customHeight="1" x14ac:dyDescent="0.15">
      <c r="G156" s="16"/>
    </row>
    <row r="157" spans="4:7" ht="50.1" customHeight="1" x14ac:dyDescent="0.15">
      <c r="D157" s="4"/>
      <c r="E157" s="17"/>
      <c r="G157" s="16"/>
    </row>
    <row r="158" spans="4:7" ht="50.1" customHeight="1" x14ac:dyDescent="0.15">
      <c r="D158" s="4"/>
      <c r="E158" s="17"/>
      <c r="G158" s="16"/>
    </row>
    <row r="159" spans="4:7" ht="50.1" customHeight="1" x14ac:dyDescent="0.15">
      <c r="G159" s="16"/>
    </row>
    <row r="160" spans="4:7" ht="50.1" customHeight="1" x14ac:dyDescent="0.15">
      <c r="G160" s="16"/>
    </row>
    <row r="161" spans="4:7" ht="50.1" customHeight="1" x14ac:dyDescent="0.15">
      <c r="D161" s="4"/>
      <c r="E161" s="17"/>
      <c r="G161" s="16"/>
    </row>
    <row r="162" spans="4:7" ht="50.1" customHeight="1" x14ac:dyDescent="0.15">
      <c r="G162" s="16"/>
    </row>
    <row r="163" spans="4:7" ht="50.1" customHeight="1" x14ac:dyDescent="0.15">
      <c r="G163" s="16"/>
    </row>
    <row r="164" spans="4:7" ht="50.1" customHeight="1" x14ac:dyDescent="0.15">
      <c r="D164" s="4"/>
      <c r="E164" s="17"/>
      <c r="G164" s="16"/>
    </row>
    <row r="165" spans="4:7" ht="50.1" customHeight="1" x14ac:dyDescent="0.15">
      <c r="G165" s="16"/>
    </row>
    <row r="166" spans="4:7" ht="50.1" customHeight="1" x14ac:dyDescent="0.15">
      <c r="G166" s="16"/>
    </row>
    <row r="167" spans="4:7" ht="50.1" customHeight="1" x14ac:dyDescent="0.15">
      <c r="G167" s="16"/>
    </row>
    <row r="168" spans="4:7" ht="50.1" customHeight="1" x14ac:dyDescent="0.15">
      <c r="G168" s="16"/>
    </row>
    <row r="169" spans="4:7" ht="50.1" customHeight="1" x14ac:dyDescent="0.15">
      <c r="G169" s="16"/>
    </row>
    <row r="170" spans="4:7" ht="50.1" customHeight="1" x14ac:dyDescent="0.15">
      <c r="G170" s="16"/>
    </row>
    <row r="171" spans="4:7" ht="50.1" customHeight="1" x14ac:dyDescent="0.15">
      <c r="G171" s="16"/>
    </row>
    <row r="172" spans="4:7" ht="50.1" customHeight="1" x14ac:dyDescent="0.15">
      <c r="G172" s="16"/>
    </row>
    <row r="173" spans="4:7" ht="50.1" customHeight="1" x14ac:dyDescent="0.15">
      <c r="G173" s="16"/>
    </row>
    <row r="174" spans="4:7" ht="50.1" customHeight="1" x14ac:dyDescent="0.15">
      <c r="G174" s="16"/>
    </row>
    <row r="175" spans="4:7" ht="50.1" customHeight="1" x14ac:dyDescent="0.15">
      <c r="G175" s="16"/>
    </row>
    <row r="176" spans="4:7" ht="50.1" customHeight="1" x14ac:dyDescent="0.15">
      <c r="G176" s="16"/>
    </row>
    <row r="177" spans="4:7" ht="50.1" customHeight="1" x14ac:dyDescent="0.15">
      <c r="G177" s="16"/>
    </row>
    <row r="178" spans="4:7" ht="50.1" customHeight="1" x14ac:dyDescent="0.15">
      <c r="G178" s="16"/>
    </row>
    <row r="179" spans="4:7" ht="50.1" customHeight="1" x14ac:dyDescent="0.15">
      <c r="G179" s="16"/>
    </row>
    <row r="180" spans="4:7" ht="50.1" customHeight="1" x14ac:dyDescent="0.15">
      <c r="G180" s="16"/>
    </row>
    <row r="181" spans="4:7" ht="50.1" customHeight="1" x14ac:dyDescent="0.15">
      <c r="G181" s="16"/>
    </row>
    <row r="182" spans="4:7" ht="50.1" customHeight="1" x14ac:dyDescent="0.15">
      <c r="G182" s="16"/>
    </row>
    <row r="183" spans="4:7" ht="50.1" customHeight="1" x14ac:dyDescent="0.15">
      <c r="D183" s="4"/>
      <c r="E183" s="17"/>
      <c r="G183" s="16"/>
    </row>
    <row r="184" spans="4:7" ht="50.1" customHeight="1" x14ac:dyDescent="0.15">
      <c r="G184" s="16"/>
    </row>
    <row r="185" spans="4:7" ht="50.1" customHeight="1" x14ac:dyDescent="0.15">
      <c r="G185" s="16"/>
    </row>
    <row r="186" spans="4:7" ht="50.1" customHeight="1" x14ac:dyDescent="0.15">
      <c r="G186" s="16"/>
    </row>
    <row r="187" spans="4:7" ht="50.1" customHeight="1" x14ac:dyDescent="0.15">
      <c r="G187" s="16"/>
    </row>
    <row r="188" spans="4:7" ht="50.1" customHeight="1" x14ac:dyDescent="0.15">
      <c r="G188" s="16"/>
    </row>
    <row r="189" spans="4:7" ht="50.1" customHeight="1" x14ac:dyDescent="0.15">
      <c r="G189" s="16"/>
    </row>
    <row r="190" spans="4:7" ht="50.1" customHeight="1" x14ac:dyDescent="0.15">
      <c r="G190" s="16"/>
    </row>
    <row r="191" spans="4:7" ht="50.1" customHeight="1" x14ac:dyDescent="0.15">
      <c r="G191" s="16"/>
    </row>
    <row r="192" spans="4:7" ht="50.1" customHeight="1" x14ac:dyDescent="0.15">
      <c r="G192" s="16"/>
    </row>
    <row r="193" spans="7:7" ht="50.1" customHeight="1" x14ac:dyDescent="0.15">
      <c r="G193" s="16"/>
    </row>
    <row r="194" spans="7:7" ht="50.1" customHeight="1" x14ac:dyDescent="0.15">
      <c r="G194" s="16"/>
    </row>
    <row r="195" spans="7:7" ht="50.1" customHeight="1" x14ac:dyDescent="0.15">
      <c r="G195" s="16"/>
    </row>
    <row r="196" spans="7:7" ht="50.1" customHeight="1" x14ac:dyDescent="0.15">
      <c r="G196" s="16"/>
    </row>
    <row r="197" spans="7:7" ht="50.1" customHeight="1" x14ac:dyDescent="0.15">
      <c r="G197" s="16"/>
    </row>
    <row r="198" spans="7:7" ht="50.1" customHeight="1" x14ac:dyDescent="0.15">
      <c r="G198" s="16"/>
    </row>
    <row r="199" spans="7:7" ht="50.1" customHeight="1" x14ac:dyDescent="0.15">
      <c r="G199" s="16"/>
    </row>
    <row r="200" spans="7:7" ht="50.1" customHeight="1" x14ac:dyDescent="0.15">
      <c r="G200" s="16"/>
    </row>
    <row r="201" spans="7:7" ht="50.1" customHeight="1" x14ac:dyDescent="0.15">
      <c r="G201" s="16"/>
    </row>
    <row r="202" spans="7:7" ht="50.1" customHeight="1" x14ac:dyDescent="0.15">
      <c r="G202" s="16"/>
    </row>
    <row r="203" spans="7:7" ht="50.1" customHeight="1" x14ac:dyDescent="0.15">
      <c r="G203" s="16"/>
    </row>
    <row r="204" spans="7:7" ht="50.1" customHeight="1" x14ac:dyDescent="0.15">
      <c r="G204" s="16"/>
    </row>
    <row r="205" spans="7:7" ht="50.1" customHeight="1" x14ac:dyDescent="0.15">
      <c r="G205" s="16"/>
    </row>
    <row r="206" spans="7:7" ht="50.1" customHeight="1" x14ac:dyDescent="0.15">
      <c r="G206" s="16"/>
    </row>
    <row r="207" spans="7:7" ht="50.1" customHeight="1" x14ac:dyDescent="0.15">
      <c r="G207" s="16"/>
    </row>
    <row r="208" spans="7:7" ht="50.1" customHeight="1" x14ac:dyDescent="0.15">
      <c r="G208" s="22"/>
    </row>
    <row r="209" spans="4:7" ht="50.1" customHeight="1" x14ac:dyDescent="0.15">
      <c r="G209" s="16"/>
    </row>
    <row r="210" spans="4:7" ht="50.1" customHeight="1" x14ac:dyDescent="0.15">
      <c r="G210" s="16"/>
    </row>
    <row r="211" spans="4:7" ht="50.1" customHeight="1" x14ac:dyDescent="0.15">
      <c r="G211" s="16"/>
    </row>
    <row r="212" spans="4:7" ht="50.1" customHeight="1" x14ac:dyDescent="0.15">
      <c r="G212" s="16"/>
    </row>
    <row r="213" spans="4:7" ht="50.1" customHeight="1" x14ac:dyDescent="0.15">
      <c r="G213" s="16"/>
    </row>
    <row r="214" spans="4:7" ht="50.1" customHeight="1" x14ac:dyDescent="0.15">
      <c r="G214" s="16"/>
    </row>
    <row r="215" spans="4:7" ht="50.1" customHeight="1" x14ac:dyDescent="0.15">
      <c r="G215" s="16"/>
    </row>
    <row r="216" spans="4:7" ht="50.1" customHeight="1" x14ac:dyDescent="0.15">
      <c r="D216" s="4"/>
      <c r="E216" s="17"/>
      <c r="G216" s="16"/>
    </row>
    <row r="217" spans="4:7" ht="50.1" customHeight="1" x14ac:dyDescent="0.15">
      <c r="G217" s="16"/>
    </row>
    <row r="218" spans="4:7" ht="50.1" customHeight="1" x14ac:dyDescent="0.15">
      <c r="G218" s="16"/>
    </row>
    <row r="219" spans="4:7" ht="50.1" customHeight="1" x14ac:dyDescent="0.15">
      <c r="G219" s="16"/>
    </row>
    <row r="220" spans="4:7" ht="50.1" customHeight="1" x14ac:dyDescent="0.15">
      <c r="G220" s="16"/>
    </row>
    <row r="221" spans="4:7" ht="50.1" customHeight="1" x14ac:dyDescent="0.15">
      <c r="D221" s="4"/>
      <c r="E221" s="17"/>
      <c r="G221" s="16"/>
    </row>
    <row r="222" spans="4:7" ht="50.1" customHeight="1" x14ac:dyDescent="0.15">
      <c r="G222" s="16"/>
    </row>
    <row r="223" spans="4:7" ht="50.1" customHeight="1" x14ac:dyDescent="0.15">
      <c r="G223" s="16"/>
    </row>
    <row r="224" spans="4:7" ht="50.1" customHeight="1" x14ac:dyDescent="0.15">
      <c r="G224" s="16"/>
    </row>
    <row r="225" spans="4:7" ht="50.1" customHeight="1" x14ac:dyDescent="0.15">
      <c r="G225" s="16"/>
    </row>
    <row r="226" spans="4:7" ht="50.1" customHeight="1" x14ac:dyDescent="0.15">
      <c r="D226" s="4"/>
      <c r="E226" s="17"/>
      <c r="G226" s="16"/>
    </row>
    <row r="227" spans="4:7" ht="50.1" customHeight="1" x14ac:dyDescent="0.15">
      <c r="G227" s="16"/>
    </row>
    <row r="228" spans="4:7" ht="50.1" customHeight="1" x14ac:dyDescent="0.15">
      <c r="G228" s="16"/>
    </row>
    <row r="229" spans="4:7" ht="50.1" customHeight="1" x14ac:dyDescent="0.15">
      <c r="G229" s="16"/>
    </row>
    <row r="230" spans="4:7" ht="50.1" customHeight="1" x14ac:dyDescent="0.15">
      <c r="D230" s="4"/>
      <c r="E230" s="17"/>
      <c r="G230" s="16"/>
    </row>
    <row r="231" spans="4:7" ht="50.1" customHeight="1" x14ac:dyDescent="0.15">
      <c r="G231" s="16"/>
    </row>
    <row r="232" spans="4:7" ht="50.1" customHeight="1" x14ac:dyDescent="0.15">
      <c r="G232" s="16"/>
    </row>
    <row r="233" spans="4:7" ht="50.1" customHeight="1" x14ac:dyDescent="0.15">
      <c r="G233" s="16"/>
    </row>
    <row r="234" spans="4:7" ht="50.1" customHeight="1" x14ac:dyDescent="0.15">
      <c r="G234" s="16"/>
    </row>
    <row r="235" spans="4:7" ht="50.1" customHeight="1" x14ac:dyDescent="0.15">
      <c r="G235" s="16"/>
    </row>
    <row r="236" spans="4:7" ht="50.1" customHeight="1" x14ac:dyDescent="0.15">
      <c r="G236" s="16"/>
    </row>
    <row r="237" spans="4:7" ht="50.1" customHeight="1" x14ac:dyDescent="0.15">
      <c r="D237" s="4"/>
      <c r="E237" s="17"/>
      <c r="G237" s="16"/>
    </row>
    <row r="238" spans="4:7" ht="50.1" customHeight="1" x14ac:dyDescent="0.15">
      <c r="G238" s="16"/>
    </row>
    <row r="239" spans="4:7" ht="50.1" customHeight="1" x14ac:dyDescent="0.15">
      <c r="G239" s="16"/>
    </row>
    <row r="240" spans="4:7" ht="50.1" customHeight="1" x14ac:dyDescent="0.15">
      <c r="G240" s="16"/>
    </row>
    <row r="241" spans="4:7" ht="50.1" customHeight="1" x14ac:dyDescent="0.15">
      <c r="G241" s="16"/>
    </row>
    <row r="242" spans="4:7" ht="50.1" customHeight="1" x14ac:dyDescent="0.15">
      <c r="G242" s="16"/>
    </row>
    <row r="243" spans="4:7" ht="50.1" customHeight="1" x14ac:dyDescent="0.15">
      <c r="G243" s="16"/>
    </row>
    <row r="244" spans="4:7" ht="50.1" customHeight="1" x14ac:dyDescent="0.15">
      <c r="G244" s="16"/>
    </row>
    <row r="245" spans="4:7" ht="50.1" customHeight="1" x14ac:dyDescent="0.15">
      <c r="G245" s="16"/>
    </row>
    <row r="246" spans="4:7" ht="50.1" customHeight="1" x14ac:dyDescent="0.15">
      <c r="G246" s="16"/>
    </row>
    <row r="247" spans="4:7" ht="50.1" customHeight="1" x14ac:dyDescent="0.15">
      <c r="G247" s="16"/>
    </row>
    <row r="248" spans="4:7" ht="50.1" customHeight="1" x14ac:dyDescent="0.15">
      <c r="G248" s="16"/>
    </row>
    <row r="249" spans="4:7" ht="50.1" customHeight="1" x14ac:dyDescent="0.15">
      <c r="D249" s="4"/>
      <c r="E249" s="17"/>
      <c r="G249" s="16"/>
    </row>
    <row r="250" spans="4:7" ht="50.1" customHeight="1" x14ac:dyDescent="0.15">
      <c r="G250" s="16"/>
    </row>
    <row r="251" spans="4:7" ht="50.1" customHeight="1" x14ac:dyDescent="0.15">
      <c r="G251" s="16"/>
    </row>
    <row r="252" spans="4:7" ht="50.1" customHeight="1" x14ac:dyDescent="0.15">
      <c r="G252" s="16"/>
    </row>
    <row r="253" spans="4:7" ht="50.1" customHeight="1" x14ac:dyDescent="0.15">
      <c r="G253" s="16"/>
    </row>
    <row r="254" spans="4:7" ht="50.1" customHeight="1" x14ac:dyDescent="0.15">
      <c r="G254" s="16"/>
    </row>
    <row r="255" spans="4:7" ht="50.1" customHeight="1" x14ac:dyDescent="0.15">
      <c r="G255" s="16"/>
    </row>
    <row r="256" spans="4:7" ht="50.1" customHeight="1" x14ac:dyDescent="0.15">
      <c r="G256" s="16"/>
    </row>
    <row r="257" spans="4:7" ht="50.1" customHeight="1" x14ac:dyDescent="0.15">
      <c r="G257" s="16"/>
    </row>
    <row r="258" spans="4:7" ht="50.1" customHeight="1" x14ac:dyDescent="0.15">
      <c r="G258" s="16"/>
    </row>
    <row r="259" spans="4:7" ht="50.1" customHeight="1" x14ac:dyDescent="0.15">
      <c r="G259" s="16"/>
    </row>
    <row r="260" spans="4:7" ht="50.1" customHeight="1" x14ac:dyDescent="0.15">
      <c r="G260" s="16"/>
    </row>
    <row r="261" spans="4:7" ht="50.1" customHeight="1" x14ac:dyDescent="0.15">
      <c r="G261" s="16"/>
    </row>
    <row r="262" spans="4:7" ht="50.1" customHeight="1" x14ac:dyDescent="0.15">
      <c r="G262" s="16"/>
    </row>
    <row r="263" spans="4:7" ht="50.1" customHeight="1" x14ac:dyDescent="0.15">
      <c r="G263" s="16"/>
    </row>
    <row r="264" spans="4:7" ht="50.1" customHeight="1" x14ac:dyDescent="0.15">
      <c r="D264" s="45"/>
      <c r="E264" s="20"/>
      <c r="G264" s="16"/>
    </row>
    <row r="265" spans="4:7" ht="50.1" customHeight="1" x14ac:dyDescent="0.15">
      <c r="D265" s="5"/>
      <c r="E265" s="21"/>
      <c r="G265" s="16"/>
    </row>
    <row r="266" spans="4:7" ht="50.1" customHeight="1" x14ac:dyDescent="0.15">
      <c r="G266" s="16"/>
    </row>
    <row r="267" spans="4:7" ht="50.1" customHeight="1" x14ac:dyDescent="0.15">
      <c r="G267" s="16"/>
    </row>
    <row r="268" spans="4:7" ht="50.1" customHeight="1" x14ac:dyDescent="0.15">
      <c r="G268" s="16"/>
    </row>
    <row r="269" spans="4:7" ht="50.1" customHeight="1" x14ac:dyDescent="0.15">
      <c r="D269" s="5"/>
      <c r="E269" s="21"/>
      <c r="G269" s="16"/>
    </row>
    <row r="270" spans="4:7" ht="50.1" customHeight="1" x14ac:dyDescent="0.15">
      <c r="G270" s="16"/>
    </row>
    <row r="271" spans="4:7" ht="50.1" customHeight="1" x14ac:dyDescent="0.15">
      <c r="D271" s="5"/>
      <c r="E271" s="21"/>
      <c r="G271" s="16"/>
    </row>
    <row r="272" spans="4:7" ht="50.1" customHeight="1" x14ac:dyDescent="0.15">
      <c r="G272" s="16"/>
    </row>
    <row r="273" spans="4:7" ht="50.1" customHeight="1" x14ac:dyDescent="0.15">
      <c r="G273" s="16"/>
    </row>
    <row r="274" spans="4:7" ht="50.1" customHeight="1" x14ac:dyDescent="0.15">
      <c r="G274" s="16"/>
    </row>
    <row r="275" spans="4:7" ht="50.1" customHeight="1" x14ac:dyDescent="0.15">
      <c r="G275" s="16"/>
    </row>
    <row r="276" spans="4:7" ht="50.1" customHeight="1" x14ac:dyDescent="0.15">
      <c r="G276" s="16"/>
    </row>
    <row r="277" spans="4:7" ht="50.1" customHeight="1" x14ac:dyDescent="0.15">
      <c r="G277" s="16"/>
    </row>
    <row r="278" spans="4:7" ht="50.1" customHeight="1" x14ac:dyDescent="0.15">
      <c r="G278" s="16"/>
    </row>
    <row r="279" spans="4:7" ht="50.1" customHeight="1" x14ac:dyDescent="0.15">
      <c r="G279" s="16"/>
    </row>
    <row r="280" spans="4:7" ht="50.1" customHeight="1" x14ac:dyDescent="0.15">
      <c r="G280" s="16"/>
    </row>
    <row r="281" spans="4:7" ht="50.1" customHeight="1" x14ac:dyDescent="0.15">
      <c r="G281" s="16"/>
    </row>
    <row r="282" spans="4:7" ht="50.1" customHeight="1" x14ac:dyDescent="0.15">
      <c r="G282" s="16"/>
    </row>
    <row r="283" spans="4:7" ht="50.1" customHeight="1" x14ac:dyDescent="0.15">
      <c r="G283" s="16"/>
    </row>
    <row r="284" spans="4:7" ht="50.1" customHeight="1" x14ac:dyDescent="0.15">
      <c r="D284" s="5"/>
      <c r="E284" s="21"/>
      <c r="G284" s="16"/>
    </row>
    <row r="285" spans="4:7" ht="50.1" customHeight="1" x14ac:dyDescent="0.15">
      <c r="G285" s="16"/>
    </row>
    <row r="286" spans="4:7" ht="50.1" customHeight="1" x14ac:dyDescent="0.15">
      <c r="G286" s="16"/>
    </row>
    <row r="287" spans="4:7" ht="50.1" customHeight="1" x14ac:dyDescent="0.15">
      <c r="G287" s="16"/>
    </row>
    <row r="288" spans="4:7" ht="50.1" customHeight="1" x14ac:dyDescent="0.15">
      <c r="G288" s="16"/>
    </row>
    <row r="289" spans="7:7" ht="50.1" customHeight="1" x14ac:dyDescent="0.15">
      <c r="G289" s="16"/>
    </row>
    <row r="290" spans="7:7" ht="50.1" customHeight="1" x14ac:dyDescent="0.15">
      <c r="G290" s="16"/>
    </row>
    <row r="291" spans="7:7" ht="50.1" customHeight="1" x14ac:dyDescent="0.15">
      <c r="G291" s="16"/>
    </row>
    <row r="292" spans="7:7" ht="50.1" customHeight="1" x14ac:dyDescent="0.15">
      <c r="G292" s="16"/>
    </row>
    <row r="293" spans="7:7" ht="50.1" customHeight="1" x14ac:dyDescent="0.15">
      <c r="G293" s="16"/>
    </row>
    <row r="294" spans="7:7" ht="50.1" customHeight="1" x14ac:dyDescent="0.15">
      <c r="G294" s="16"/>
    </row>
    <row r="295" spans="7:7" ht="50.1" customHeight="1" x14ac:dyDescent="0.15">
      <c r="G295" s="16"/>
    </row>
    <row r="296" spans="7:7" ht="50.1" customHeight="1" x14ac:dyDescent="0.15">
      <c r="G296" s="16"/>
    </row>
    <row r="297" spans="7:7" ht="50.1" customHeight="1" x14ac:dyDescent="0.15">
      <c r="G297" s="16"/>
    </row>
    <row r="298" spans="7:7" ht="50.1" customHeight="1" x14ac:dyDescent="0.15">
      <c r="G298" s="16"/>
    </row>
    <row r="299" spans="7:7" ht="50.1" customHeight="1" x14ac:dyDescent="0.15">
      <c r="G299" s="16"/>
    </row>
    <row r="300" spans="7:7" ht="50.1" customHeight="1" x14ac:dyDescent="0.15">
      <c r="G300" s="16"/>
    </row>
    <row r="301" spans="7:7" ht="50.1" customHeight="1" x14ac:dyDescent="0.15">
      <c r="G301" s="16"/>
    </row>
    <row r="302" spans="7:7" ht="50.1" customHeight="1" x14ac:dyDescent="0.15">
      <c r="G302" s="16"/>
    </row>
    <row r="303" spans="7:7" ht="50.1" customHeight="1" x14ac:dyDescent="0.15">
      <c r="G303" s="16"/>
    </row>
    <row r="304" spans="7:7" ht="50.1" customHeight="1" x14ac:dyDescent="0.15">
      <c r="G304" s="16"/>
    </row>
    <row r="305" spans="4:7" ht="50.1" customHeight="1" x14ac:dyDescent="0.15">
      <c r="G305" s="16"/>
    </row>
    <row r="306" spans="4:7" ht="50.1" customHeight="1" x14ac:dyDescent="0.15">
      <c r="G306" s="16"/>
    </row>
    <row r="307" spans="4:7" ht="50.1" customHeight="1" x14ac:dyDescent="0.15">
      <c r="G307" s="16"/>
    </row>
    <row r="308" spans="4:7" ht="50.1" customHeight="1" x14ac:dyDescent="0.15">
      <c r="G308" s="16"/>
    </row>
    <row r="309" spans="4:7" ht="50.1" customHeight="1" x14ac:dyDescent="0.15">
      <c r="G309" s="16"/>
    </row>
    <row r="310" spans="4:7" ht="50.1" customHeight="1" x14ac:dyDescent="0.15">
      <c r="G310" s="16"/>
    </row>
    <row r="311" spans="4:7" ht="50.1" customHeight="1" x14ac:dyDescent="0.15">
      <c r="G311" s="16"/>
    </row>
    <row r="312" spans="4:7" ht="50.1" customHeight="1" x14ac:dyDescent="0.15">
      <c r="G312" s="16"/>
    </row>
    <row r="313" spans="4:7" ht="50.1" customHeight="1" x14ac:dyDescent="0.15">
      <c r="G313" s="16"/>
    </row>
    <row r="314" spans="4:7" ht="50.1" customHeight="1" x14ac:dyDescent="0.15">
      <c r="G314" s="16"/>
    </row>
    <row r="315" spans="4:7" ht="50.1" customHeight="1" x14ac:dyDescent="0.15">
      <c r="G315" s="16"/>
    </row>
    <row r="316" spans="4:7" ht="50.1" customHeight="1" x14ac:dyDescent="0.15">
      <c r="D316" s="5"/>
      <c r="E316" s="21"/>
      <c r="G316" s="16"/>
    </row>
    <row r="317" spans="4:7" ht="50.1" customHeight="1" x14ac:dyDescent="0.15">
      <c r="G317" s="16"/>
    </row>
    <row r="318" spans="4:7" ht="50.1" customHeight="1" x14ac:dyDescent="0.15">
      <c r="G318" s="16"/>
    </row>
    <row r="319" spans="4:7" ht="50.1" customHeight="1" x14ac:dyDescent="0.15">
      <c r="G319" s="16"/>
    </row>
    <row r="320" spans="4:7" ht="50.1" customHeight="1" x14ac:dyDescent="0.15">
      <c r="G320" s="16"/>
    </row>
    <row r="321" spans="4:7" ht="50.1" customHeight="1" x14ac:dyDescent="0.15">
      <c r="G321" s="16"/>
    </row>
    <row r="322" spans="4:7" ht="50.1" customHeight="1" x14ac:dyDescent="0.15">
      <c r="G322" s="16"/>
    </row>
    <row r="323" spans="4:7" ht="50.1" customHeight="1" x14ac:dyDescent="0.15">
      <c r="G323" s="16"/>
    </row>
    <row r="324" spans="4:7" ht="50.1" customHeight="1" x14ac:dyDescent="0.15">
      <c r="G324" s="16"/>
    </row>
    <row r="325" spans="4:7" ht="50.1" customHeight="1" x14ac:dyDescent="0.15">
      <c r="G325" s="16"/>
    </row>
    <row r="326" spans="4:7" ht="50.1" customHeight="1" x14ac:dyDescent="0.15">
      <c r="G326" s="16"/>
    </row>
    <row r="327" spans="4:7" ht="50.1" customHeight="1" x14ac:dyDescent="0.15">
      <c r="G327" s="16"/>
    </row>
    <row r="328" spans="4:7" ht="50.1" customHeight="1" x14ac:dyDescent="0.15">
      <c r="G328" s="16"/>
    </row>
    <row r="329" spans="4:7" ht="50.1" customHeight="1" x14ac:dyDescent="0.15">
      <c r="G329" s="16"/>
    </row>
    <row r="330" spans="4:7" ht="50.1" customHeight="1" x14ac:dyDescent="0.15">
      <c r="D330" s="5"/>
      <c r="E330" s="21"/>
      <c r="G330" s="16"/>
    </row>
    <row r="331" spans="4:7" ht="50.1" customHeight="1" x14ac:dyDescent="0.15">
      <c r="G331" s="16"/>
    </row>
    <row r="332" spans="4:7" ht="50.1" customHeight="1" x14ac:dyDescent="0.15">
      <c r="G332" s="16"/>
    </row>
    <row r="333" spans="4:7" ht="50.1" customHeight="1" x14ac:dyDescent="0.15">
      <c r="G333" s="16"/>
    </row>
    <row r="334" spans="4:7" ht="50.1" customHeight="1" x14ac:dyDescent="0.15">
      <c r="G334" s="16"/>
    </row>
    <row r="335" spans="4:7" ht="50.1" customHeight="1" x14ac:dyDescent="0.15">
      <c r="G335" s="16"/>
    </row>
    <row r="336" spans="4:7" ht="50.1" customHeight="1" x14ac:dyDescent="0.15">
      <c r="G336" s="16"/>
    </row>
    <row r="337" spans="4:7" ht="50.1" customHeight="1" x14ac:dyDescent="0.15">
      <c r="G337" s="16"/>
    </row>
    <row r="338" spans="4:7" ht="50.1" customHeight="1" x14ac:dyDescent="0.15">
      <c r="D338" s="5"/>
      <c r="E338" s="21"/>
      <c r="G338" s="16"/>
    </row>
    <row r="339" spans="4:7" ht="50.1" customHeight="1" x14ac:dyDescent="0.15">
      <c r="G339" s="16"/>
    </row>
    <row r="340" spans="4:7" ht="50.1" customHeight="1" x14ac:dyDescent="0.15">
      <c r="G340" s="16"/>
    </row>
    <row r="341" spans="4:7" ht="50.1" customHeight="1" x14ac:dyDescent="0.15">
      <c r="G341" s="16"/>
    </row>
    <row r="342" spans="4:7" ht="50.1" customHeight="1" x14ac:dyDescent="0.15">
      <c r="G342" s="16"/>
    </row>
    <row r="343" spans="4:7" ht="50.1" customHeight="1" x14ac:dyDescent="0.15">
      <c r="G343" s="16"/>
    </row>
    <row r="344" spans="4:7" ht="50.1" customHeight="1" x14ac:dyDescent="0.15">
      <c r="G344" s="16"/>
    </row>
    <row r="345" spans="4:7" ht="50.1" customHeight="1" x14ac:dyDescent="0.15">
      <c r="G345" s="16"/>
    </row>
    <row r="346" spans="4:7" ht="50.1" customHeight="1" x14ac:dyDescent="0.15">
      <c r="G346" s="16"/>
    </row>
    <row r="347" spans="4:7" ht="50.1" customHeight="1" x14ac:dyDescent="0.15">
      <c r="G347" s="16"/>
    </row>
    <row r="348" spans="4:7" ht="50.1" customHeight="1" x14ac:dyDescent="0.15">
      <c r="G348" s="16"/>
    </row>
    <row r="349" spans="4:7" ht="50.1" customHeight="1" x14ac:dyDescent="0.15">
      <c r="G349" s="16"/>
    </row>
    <row r="350" spans="4:7" ht="50.1" customHeight="1" x14ac:dyDescent="0.15">
      <c r="D350" s="5"/>
      <c r="E350" s="21"/>
      <c r="G350" s="16"/>
    </row>
    <row r="351" spans="4:7" ht="50.1" customHeight="1" x14ac:dyDescent="0.15">
      <c r="D351" s="5"/>
      <c r="E351" s="21"/>
      <c r="G351" s="16"/>
    </row>
    <row r="352" spans="4:7" ht="50.1" customHeight="1" x14ac:dyDescent="0.15">
      <c r="G352" s="16"/>
    </row>
    <row r="353" spans="4:7" ht="50.1" customHeight="1" x14ac:dyDescent="0.15">
      <c r="G353" s="16"/>
    </row>
    <row r="354" spans="4:7" ht="50.1" customHeight="1" x14ac:dyDescent="0.15">
      <c r="G354" s="16"/>
    </row>
    <row r="355" spans="4:7" ht="50.1" customHeight="1" x14ac:dyDescent="0.15">
      <c r="G355" s="16"/>
    </row>
    <row r="356" spans="4:7" ht="50.1" customHeight="1" x14ac:dyDescent="0.15">
      <c r="G356" s="16"/>
    </row>
    <row r="357" spans="4:7" ht="50.1" customHeight="1" x14ac:dyDescent="0.15">
      <c r="G357" s="16"/>
    </row>
    <row r="358" spans="4:7" ht="50.1" customHeight="1" x14ac:dyDescent="0.15">
      <c r="G358" s="16"/>
    </row>
    <row r="359" spans="4:7" ht="50.1" customHeight="1" x14ac:dyDescent="0.15">
      <c r="G359" s="16"/>
    </row>
    <row r="360" spans="4:7" ht="50.1" customHeight="1" x14ac:dyDescent="0.15">
      <c r="G360" s="16"/>
    </row>
    <row r="361" spans="4:7" ht="50.1" customHeight="1" x14ac:dyDescent="0.15">
      <c r="G361" s="16"/>
    </row>
    <row r="362" spans="4:7" ht="50.1" customHeight="1" x14ac:dyDescent="0.15">
      <c r="G362" s="16"/>
    </row>
    <row r="363" spans="4:7" ht="50.1" customHeight="1" x14ac:dyDescent="0.15">
      <c r="D363" s="5"/>
      <c r="E363" s="21"/>
      <c r="G363" s="16"/>
    </row>
    <row r="364" spans="4:7" ht="50.1" customHeight="1" x14ac:dyDescent="0.15">
      <c r="G364" s="16"/>
    </row>
    <row r="365" spans="4:7" ht="50.1" customHeight="1" x14ac:dyDescent="0.15">
      <c r="D365" s="5"/>
      <c r="E365" s="21"/>
      <c r="G365" s="16"/>
    </row>
    <row r="366" spans="4:7" ht="50.1" customHeight="1" x14ac:dyDescent="0.15">
      <c r="D366" s="5"/>
      <c r="E366" s="21"/>
      <c r="G366" s="16"/>
    </row>
    <row r="367" spans="4:7" ht="50.1" customHeight="1" x14ac:dyDescent="0.15">
      <c r="G367" s="16"/>
    </row>
    <row r="368" spans="4:7" ht="50.1" customHeight="1" x14ac:dyDescent="0.15">
      <c r="G368" s="16"/>
    </row>
    <row r="369" spans="4:7" ht="50.1" customHeight="1" x14ac:dyDescent="0.15">
      <c r="G369" s="16"/>
    </row>
    <row r="370" spans="4:7" ht="50.1" customHeight="1" x14ac:dyDescent="0.15">
      <c r="G370" s="16"/>
    </row>
    <row r="371" spans="4:7" ht="50.1" customHeight="1" x14ac:dyDescent="0.15">
      <c r="D371" s="5"/>
      <c r="E371" s="21"/>
      <c r="G371" s="16"/>
    </row>
    <row r="372" spans="4:7" ht="50.1" customHeight="1" x14ac:dyDescent="0.15">
      <c r="G372" s="16"/>
    </row>
    <row r="373" spans="4:7" ht="50.1" customHeight="1" x14ac:dyDescent="0.15">
      <c r="G373" s="16"/>
    </row>
    <row r="374" spans="4:7" ht="50.1" customHeight="1" x14ac:dyDescent="0.15">
      <c r="G374" s="16"/>
    </row>
    <row r="375" spans="4:7" ht="50.1" customHeight="1" x14ac:dyDescent="0.15">
      <c r="G375" s="16"/>
    </row>
    <row r="376" spans="4:7" ht="50.1" customHeight="1" x14ac:dyDescent="0.15">
      <c r="D376" s="5"/>
      <c r="E376" s="21"/>
      <c r="G376" s="16"/>
    </row>
    <row r="377" spans="4:7" ht="50.1" customHeight="1" x14ac:dyDescent="0.15">
      <c r="G377" s="16"/>
    </row>
    <row r="378" spans="4:7" ht="50.1" customHeight="1" x14ac:dyDescent="0.15">
      <c r="G378" s="16"/>
    </row>
    <row r="379" spans="4:7" ht="50.1" customHeight="1" x14ac:dyDescent="0.15">
      <c r="G379" s="16"/>
    </row>
    <row r="380" spans="4:7" ht="50.1" customHeight="1" x14ac:dyDescent="0.15">
      <c r="G380" s="16"/>
    </row>
    <row r="381" spans="4:7" ht="50.1" customHeight="1" x14ac:dyDescent="0.15">
      <c r="G381" s="16"/>
    </row>
    <row r="382" spans="4:7" ht="50.1" customHeight="1" x14ac:dyDescent="0.15">
      <c r="G382" s="16"/>
    </row>
    <row r="383" spans="4:7" ht="50.1" customHeight="1" x14ac:dyDescent="0.15">
      <c r="G383" s="16"/>
    </row>
    <row r="384" spans="4:7" ht="50.1" customHeight="1" x14ac:dyDescent="0.15">
      <c r="G384" s="16"/>
    </row>
    <row r="385" spans="4:7" ht="50.1" customHeight="1" x14ac:dyDescent="0.15">
      <c r="G385" s="16"/>
    </row>
    <row r="386" spans="4:7" ht="50.1" customHeight="1" x14ac:dyDescent="0.15">
      <c r="G386" s="16"/>
    </row>
    <row r="387" spans="4:7" ht="50.1" customHeight="1" x14ac:dyDescent="0.15">
      <c r="G387" s="16"/>
    </row>
    <row r="388" spans="4:7" ht="50.1" customHeight="1" x14ac:dyDescent="0.15">
      <c r="G388" s="16"/>
    </row>
    <row r="389" spans="4:7" ht="50.1" customHeight="1" x14ac:dyDescent="0.15">
      <c r="G389" s="16"/>
    </row>
    <row r="390" spans="4:7" ht="50.1" customHeight="1" x14ac:dyDescent="0.15">
      <c r="G390" s="16"/>
    </row>
    <row r="391" spans="4:7" ht="50.1" customHeight="1" x14ac:dyDescent="0.15">
      <c r="G391" s="16"/>
    </row>
    <row r="392" spans="4:7" ht="50.1" customHeight="1" x14ac:dyDescent="0.15">
      <c r="G392" s="16"/>
    </row>
    <row r="393" spans="4:7" ht="50.1" customHeight="1" x14ac:dyDescent="0.15">
      <c r="G393" s="16"/>
    </row>
    <row r="394" spans="4:7" ht="50.1" customHeight="1" x14ac:dyDescent="0.15">
      <c r="G394" s="16"/>
    </row>
    <row r="395" spans="4:7" ht="50.1" customHeight="1" x14ac:dyDescent="0.15">
      <c r="G395" s="16"/>
    </row>
    <row r="396" spans="4:7" ht="50.1" customHeight="1" x14ac:dyDescent="0.15">
      <c r="G396" s="16"/>
    </row>
    <row r="397" spans="4:7" ht="50.1" customHeight="1" x14ac:dyDescent="0.15">
      <c r="G397" s="16"/>
    </row>
    <row r="398" spans="4:7" ht="50.1" customHeight="1" x14ac:dyDescent="0.15">
      <c r="D398" s="5"/>
      <c r="E398" s="21"/>
      <c r="G398" s="16"/>
    </row>
    <row r="399" spans="4:7" ht="50.1" customHeight="1" x14ac:dyDescent="0.15">
      <c r="G399" s="16"/>
    </row>
    <row r="400" spans="4:7" ht="50.1" customHeight="1" x14ac:dyDescent="0.15">
      <c r="G400" s="16"/>
    </row>
    <row r="401" spans="4:7" ht="50.1" customHeight="1" x14ac:dyDescent="0.15">
      <c r="G401" s="16"/>
    </row>
    <row r="402" spans="4:7" ht="50.1" customHeight="1" x14ac:dyDescent="0.15">
      <c r="G402" s="16"/>
    </row>
    <row r="403" spans="4:7" ht="50.1" customHeight="1" x14ac:dyDescent="0.15">
      <c r="G403" s="16"/>
    </row>
    <row r="404" spans="4:7" ht="50.1" customHeight="1" x14ac:dyDescent="0.15">
      <c r="G404" s="16"/>
    </row>
    <row r="405" spans="4:7" ht="50.1" customHeight="1" x14ac:dyDescent="0.15">
      <c r="G405" s="16"/>
    </row>
    <row r="406" spans="4:7" ht="50.1" customHeight="1" x14ac:dyDescent="0.15">
      <c r="D406" s="5"/>
      <c r="E406" s="21"/>
      <c r="G406" s="16"/>
    </row>
    <row r="407" spans="4:7" ht="50.1" customHeight="1" x14ac:dyDescent="0.15">
      <c r="G407" s="16"/>
    </row>
    <row r="408" spans="4:7" ht="50.1" customHeight="1" x14ac:dyDescent="0.15">
      <c r="G408" s="16"/>
    </row>
    <row r="409" spans="4:7" ht="50.1" customHeight="1" x14ac:dyDescent="0.15">
      <c r="G409" s="16"/>
    </row>
    <row r="410" spans="4:7" ht="50.1" customHeight="1" x14ac:dyDescent="0.15">
      <c r="G410" s="16"/>
    </row>
    <row r="411" spans="4:7" ht="50.1" customHeight="1" x14ac:dyDescent="0.15">
      <c r="D411" s="5"/>
      <c r="E411" s="21"/>
      <c r="G411" s="16"/>
    </row>
    <row r="412" spans="4:7" ht="50.1" customHeight="1" x14ac:dyDescent="0.15">
      <c r="G412" s="16"/>
    </row>
    <row r="413" spans="4:7" ht="50.1" customHeight="1" x14ac:dyDescent="0.15">
      <c r="G413" s="16"/>
    </row>
    <row r="414" spans="4:7" ht="50.1" customHeight="1" x14ac:dyDescent="0.15">
      <c r="G414" s="16"/>
    </row>
    <row r="415" spans="4:7" ht="50.1" customHeight="1" x14ac:dyDescent="0.15">
      <c r="G415" s="16"/>
    </row>
    <row r="416" spans="4:7" ht="50.1" customHeight="1" x14ac:dyDescent="0.15">
      <c r="G416" s="16"/>
    </row>
    <row r="417" spans="4:7" ht="50.1" customHeight="1" x14ac:dyDescent="0.15">
      <c r="G417" s="16"/>
    </row>
    <row r="418" spans="4:7" ht="50.1" customHeight="1" x14ac:dyDescent="0.15">
      <c r="G418" s="16"/>
    </row>
    <row r="419" spans="4:7" ht="50.1" customHeight="1" x14ac:dyDescent="0.15">
      <c r="G419" s="16"/>
    </row>
    <row r="420" spans="4:7" ht="50.1" customHeight="1" x14ac:dyDescent="0.15">
      <c r="D420" s="5"/>
      <c r="E420" s="21"/>
      <c r="G420" s="16"/>
    </row>
    <row r="421" spans="4:7" ht="50.1" customHeight="1" x14ac:dyDescent="0.15">
      <c r="G421" s="16"/>
    </row>
    <row r="422" spans="4:7" ht="50.1" customHeight="1" x14ac:dyDescent="0.15">
      <c r="G422" s="16"/>
    </row>
    <row r="423" spans="4:7" ht="50.1" customHeight="1" x14ac:dyDescent="0.15">
      <c r="G423" s="16"/>
    </row>
    <row r="424" spans="4:7" ht="50.1" customHeight="1" x14ac:dyDescent="0.15">
      <c r="G424" s="16"/>
    </row>
    <row r="425" spans="4:7" ht="50.1" customHeight="1" x14ac:dyDescent="0.15">
      <c r="G425" s="16"/>
    </row>
    <row r="426" spans="4:7" ht="50.1" customHeight="1" x14ac:dyDescent="0.15">
      <c r="G426" s="16"/>
    </row>
    <row r="427" spans="4:7" ht="50.1" customHeight="1" x14ac:dyDescent="0.15">
      <c r="G427" s="16"/>
    </row>
    <row r="428" spans="4:7" ht="50.1" customHeight="1" x14ac:dyDescent="0.15">
      <c r="G428" s="16"/>
    </row>
    <row r="429" spans="4:7" ht="50.1" customHeight="1" x14ac:dyDescent="0.15">
      <c r="G429" s="16"/>
    </row>
    <row r="430" spans="4:7" ht="50.1" customHeight="1" x14ac:dyDescent="0.15">
      <c r="G430" s="16"/>
    </row>
    <row r="431" spans="4:7" ht="50.1" customHeight="1" x14ac:dyDescent="0.15">
      <c r="D431" s="5"/>
      <c r="E431" s="21"/>
      <c r="G431" s="16"/>
    </row>
    <row r="432" spans="4:7" ht="50.1" customHeight="1" x14ac:dyDescent="0.15">
      <c r="G432" s="16"/>
    </row>
    <row r="433" spans="4:7" ht="50.1" customHeight="1" x14ac:dyDescent="0.15">
      <c r="G433" s="16"/>
    </row>
    <row r="434" spans="4:7" ht="50.1" customHeight="1" x14ac:dyDescent="0.15">
      <c r="G434" s="16"/>
    </row>
    <row r="435" spans="4:7" ht="50.1" customHeight="1" x14ac:dyDescent="0.15">
      <c r="G435" s="16"/>
    </row>
    <row r="436" spans="4:7" ht="50.1" customHeight="1" x14ac:dyDescent="0.15">
      <c r="G436" s="16"/>
    </row>
    <row r="437" spans="4:7" ht="50.1" customHeight="1" x14ac:dyDescent="0.15">
      <c r="G437" s="16"/>
    </row>
    <row r="438" spans="4:7" ht="50.1" customHeight="1" x14ac:dyDescent="0.15">
      <c r="G438" s="16"/>
    </row>
    <row r="439" spans="4:7" ht="50.1" customHeight="1" x14ac:dyDescent="0.15">
      <c r="G439" s="16"/>
    </row>
    <row r="440" spans="4:7" ht="50.1" customHeight="1" x14ac:dyDescent="0.15">
      <c r="G440" s="16"/>
    </row>
    <row r="441" spans="4:7" ht="50.1" customHeight="1" x14ac:dyDescent="0.15">
      <c r="G441" s="16"/>
    </row>
    <row r="442" spans="4:7" ht="50.1" customHeight="1" x14ac:dyDescent="0.15">
      <c r="G442" s="16"/>
    </row>
    <row r="443" spans="4:7" ht="50.1" customHeight="1" x14ac:dyDescent="0.15">
      <c r="G443" s="16"/>
    </row>
    <row r="444" spans="4:7" ht="50.1" customHeight="1" x14ac:dyDescent="0.15">
      <c r="G444" s="16"/>
    </row>
    <row r="445" spans="4:7" ht="50.1" customHeight="1" x14ac:dyDescent="0.15">
      <c r="G445" s="16"/>
    </row>
    <row r="446" spans="4:7" ht="50.1" customHeight="1" x14ac:dyDescent="0.15">
      <c r="G446" s="16"/>
    </row>
    <row r="447" spans="4:7" ht="50.1" customHeight="1" x14ac:dyDescent="0.15">
      <c r="G447" s="16"/>
    </row>
    <row r="448" spans="4:7" ht="50.1" customHeight="1" x14ac:dyDescent="0.15">
      <c r="D448" s="5"/>
      <c r="E448" s="21"/>
      <c r="G448" s="16"/>
    </row>
    <row r="449" spans="4:7" ht="50.1" customHeight="1" x14ac:dyDescent="0.15">
      <c r="G449" s="16"/>
    </row>
    <row r="450" spans="4:7" ht="50.1" customHeight="1" x14ac:dyDescent="0.15">
      <c r="D450" s="5"/>
      <c r="E450" s="21"/>
      <c r="G450" s="16"/>
    </row>
    <row r="451" spans="4:7" ht="50.1" customHeight="1" x14ac:dyDescent="0.15">
      <c r="G451" s="16"/>
    </row>
    <row r="452" spans="4:7" ht="50.1" customHeight="1" x14ac:dyDescent="0.15">
      <c r="G452" s="16"/>
    </row>
    <row r="453" spans="4:7" ht="50.1" customHeight="1" x14ac:dyDescent="0.15">
      <c r="G453" s="16"/>
    </row>
    <row r="454" spans="4:7" ht="50.1" customHeight="1" x14ac:dyDescent="0.15">
      <c r="G454" s="16"/>
    </row>
    <row r="455" spans="4:7" ht="50.1" customHeight="1" x14ac:dyDescent="0.15">
      <c r="G455" s="16"/>
    </row>
    <row r="456" spans="4:7" ht="50.1" customHeight="1" x14ac:dyDescent="0.15">
      <c r="G456" s="16"/>
    </row>
    <row r="457" spans="4:7" ht="50.1" customHeight="1" x14ac:dyDescent="0.15">
      <c r="G457" s="16"/>
    </row>
    <row r="458" spans="4:7" ht="50.1" customHeight="1" x14ac:dyDescent="0.15">
      <c r="G458" s="16"/>
    </row>
    <row r="459" spans="4:7" ht="50.1" customHeight="1" x14ac:dyDescent="0.15">
      <c r="G459" s="16"/>
    </row>
    <row r="460" spans="4:7" ht="50.1" customHeight="1" x14ac:dyDescent="0.15">
      <c r="G460" s="16"/>
    </row>
    <row r="461" spans="4:7" ht="50.1" customHeight="1" x14ac:dyDescent="0.15">
      <c r="G461" s="16"/>
    </row>
    <row r="462" spans="4:7" ht="50.1" customHeight="1" x14ac:dyDescent="0.15">
      <c r="G462" s="16"/>
    </row>
    <row r="463" spans="4:7" ht="50.1" customHeight="1" x14ac:dyDescent="0.15">
      <c r="G463" s="16"/>
    </row>
    <row r="464" spans="4:7" ht="50.1" customHeight="1" x14ac:dyDescent="0.15">
      <c r="G464" s="16"/>
    </row>
    <row r="465" spans="4:7" ht="50.1" customHeight="1" x14ac:dyDescent="0.15">
      <c r="G465" s="16"/>
    </row>
    <row r="466" spans="4:7" ht="50.1" customHeight="1" x14ac:dyDescent="0.15">
      <c r="G466" s="16"/>
    </row>
    <row r="467" spans="4:7" ht="50.1" customHeight="1" x14ac:dyDescent="0.15">
      <c r="G467" s="16"/>
    </row>
    <row r="468" spans="4:7" ht="50.1" customHeight="1" x14ac:dyDescent="0.15">
      <c r="G468" s="16"/>
    </row>
    <row r="469" spans="4:7" ht="50.1" customHeight="1" x14ac:dyDescent="0.15">
      <c r="G469" s="16"/>
    </row>
    <row r="470" spans="4:7" ht="50.1" customHeight="1" x14ac:dyDescent="0.15">
      <c r="G470" s="16"/>
    </row>
    <row r="471" spans="4:7" ht="50.1" customHeight="1" x14ac:dyDescent="0.15">
      <c r="G471" s="16"/>
    </row>
    <row r="472" spans="4:7" ht="50.1" customHeight="1" x14ac:dyDescent="0.15">
      <c r="G472" s="16"/>
    </row>
    <row r="473" spans="4:7" ht="50.1" customHeight="1" x14ac:dyDescent="0.15">
      <c r="G473" s="16"/>
    </row>
    <row r="474" spans="4:7" ht="50.1" customHeight="1" x14ac:dyDescent="0.15">
      <c r="G474" s="16"/>
    </row>
    <row r="475" spans="4:7" ht="50.1" customHeight="1" x14ac:dyDescent="0.15">
      <c r="G475" s="16"/>
    </row>
    <row r="476" spans="4:7" ht="50.1" customHeight="1" x14ac:dyDescent="0.15">
      <c r="G476" s="16"/>
    </row>
    <row r="477" spans="4:7" ht="50.1" customHeight="1" x14ac:dyDescent="0.15">
      <c r="G477" s="16"/>
    </row>
    <row r="478" spans="4:7" ht="50.1" customHeight="1" x14ac:dyDescent="0.15">
      <c r="G478" s="16"/>
    </row>
    <row r="479" spans="4:7" ht="50.1" customHeight="1" x14ac:dyDescent="0.15">
      <c r="D479" s="5"/>
      <c r="E479" s="21"/>
      <c r="G479" s="16"/>
    </row>
    <row r="480" spans="4:7" ht="50.1" customHeight="1" x14ac:dyDescent="0.15">
      <c r="G480" s="22"/>
    </row>
    <row r="481" spans="7:7" ht="50.1" customHeight="1" x14ac:dyDescent="0.15">
      <c r="G481" s="22"/>
    </row>
    <row r="482" spans="7:7" ht="50.1" customHeight="1" x14ac:dyDescent="0.15">
      <c r="G482" s="16"/>
    </row>
    <row r="483" spans="7:7" ht="50.1" customHeight="1" x14ac:dyDescent="0.15">
      <c r="G483" s="16"/>
    </row>
    <row r="484" spans="7:7" ht="50.1" customHeight="1" x14ac:dyDescent="0.15">
      <c r="G484" s="16"/>
    </row>
    <row r="485" spans="7:7" ht="50.1" customHeight="1" x14ac:dyDescent="0.15">
      <c r="G485" s="16"/>
    </row>
    <row r="486" spans="7:7" ht="50.1" customHeight="1" x14ac:dyDescent="0.15">
      <c r="G486" s="16"/>
    </row>
    <row r="487" spans="7:7" ht="50.1" customHeight="1" x14ac:dyDescent="0.15">
      <c r="G487" s="16"/>
    </row>
    <row r="488" spans="7:7" ht="50.1" customHeight="1" x14ac:dyDescent="0.15">
      <c r="G488" s="16"/>
    </row>
    <row r="489" spans="7:7" ht="50.1" customHeight="1" x14ac:dyDescent="0.15">
      <c r="G489" s="16"/>
    </row>
    <row r="490" spans="7:7" ht="50.1" customHeight="1" x14ac:dyDescent="0.15">
      <c r="G490" s="16"/>
    </row>
    <row r="491" spans="7:7" ht="50.1" customHeight="1" x14ac:dyDescent="0.15">
      <c r="G491" s="16"/>
    </row>
    <row r="492" spans="7:7" ht="50.1" customHeight="1" x14ac:dyDescent="0.15">
      <c r="G492" s="16"/>
    </row>
    <row r="493" spans="7:7" ht="50.1" customHeight="1" x14ac:dyDescent="0.15">
      <c r="G493" s="16"/>
    </row>
    <row r="494" spans="7:7" ht="50.1" customHeight="1" x14ac:dyDescent="0.15">
      <c r="G494" s="16"/>
    </row>
    <row r="495" spans="7:7" ht="50.1" customHeight="1" x14ac:dyDescent="0.15">
      <c r="G495" s="16"/>
    </row>
    <row r="496" spans="7:7" ht="50.1" customHeight="1" x14ac:dyDescent="0.15">
      <c r="G496" s="16"/>
    </row>
    <row r="497" spans="7:7" ht="50.1" customHeight="1" x14ac:dyDescent="0.15">
      <c r="G497" s="16"/>
    </row>
    <row r="498" spans="7:7" ht="50.1" customHeight="1" x14ac:dyDescent="0.15">
      <c r="G498" s="16"/>
    </row>
    <row r="499" spans="7:7" ht="50.1" customHeight="1" x14ac:dyDescent="0.15">
      <c r="G499" s="16"/>
    </row>
    <row r="500" spans="7:7" ht="50.1" customHeight="1" x14ac:dyDescent="0.15">
      <c r="G500" s="16"/>
    </row>
  </sheetData>
  <phoneticPr fontId="1" type="noConversion"/>
  <pageMargins left="0.75" right="0.75" top="1" bottom="1" header="0.51111111111111107" footer="0.51111111111111107"/>
  <pageSetup paperSize="9" firstPageNumber="4294963191"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8A28BB-F612-49D8-96CC-666ACE158D6B}">
  <sheetPr codeName="Sheet5"/>
  <dimension ref="A1:G500"/>
  <sheetViews>
    <sheetView zoomScale="85" zoomScaleNormal="85" zoomScaleSheetLayoutView="100" workbookViewId="0">
      <selection activeCell="E3" sqref="E3"/>
    </sheetView>
  </sheetViews>
  <sheetFormatPr defaultColWidth="10.625" defaultRowHeight="23.25" x14ac:dyDescent="0.15"/>
  <cols>
    <col min="1" max="3" width="10.625" style="1"/>
    <col min="4" max="4" width="30.625" style="15" customWidth="1"/>
    <col min="5" max="5" width="30.625" style="11" customWidth="1"/>
    <col min="6" max="6" width="50.625" style="52" customWidth="1"/>
    <col min="7" max="7" width="200.625" style="14" customWidth="1"/>
    <col min="8" max="16384" width="10.625" style="1"/>
  </cols>
  <sheetData>
    <row r="1" spans="1:7" ht="50.1" customHeight="1" x14ac:dyDescent="0.15">
      <c r="A1" s="23" t="s">
        <v>0</v>
      </c>
      <c r="B1" s="23">
        <f>colorfunction(C1,D1:D500,FALSE)</f>
        <v>0</v>
      </c>
      <c r="C1" s="10"/>
      <c r="D1" s="15" t="s">
        <v>399</v>
      </c>
      <c r="G1" s="16"/>
    </row>
    <row r="2" spans="1:7" ht="50.1" customHeight="1" x14ac:dyDescent="0.15">
      <c r="A2" s="23" t="s">
        <v>1</v>
      </c>
      <c r="B2" s="23">
        <f>colorfunction(C2,D1:D500,FALSE)</f>
        <v>0</v>
      </c>
      <c r="C2" s="12"/>
      <c r="G2" s="16"/>
    </row>
    <row r="3" spans="1:7" ht="50.1" customHeight="1" x14ac:dyDescent="0.15">
      <c r="A3" s="23" t="s">
        <v>2</v>
      </c>
      <c r="B3" s="23">
        <f>colorfunction(C3,D1:D500,FALSE)</f>
        <v>0</v>
      </c>
      <c r="C3" s="13"/>
      <c r="G3" s="16"/>
    </row>
    <row r="4" spans="1:7" ht="50.1" customHeight="1" x14ac:dyDescent="0.15">
      <c r="A4" s="23" t="s">
        <v>3</v>
      </c>
      <c r="B4" s="24" t="e">
        <f>B1/(B1+B2+B3)</f>
        <v>#DIV/0!</v>
      </c>
      <c r="G4" s="16"/>
    </row>
    <row r="5" spans="1:7" ht="50.1" customHeight="1" x14ac:dyDescent="0.15">
      <c r="A5" s="23" t="s">
        <v>4</v>
      </c>
      <c r="B5" s="24" t="e">
        <f>(B1 + B2) / (B1+B2+B3)</f>
        <v>#DIV/0!</v>
      </c>
      <c r="G5" s="16"/>
    </row>
    <row r="6" spans="1:7" ht="50.1" customHeight="1" x14ac:dyDescent="0.15">
      <c r="A6" s="23" t="s">
        <v>5</v>
      </c>
      <c r="B6" s="23">
        <f xml:space="preserve"> B1 + B2 +B3</f>
        <v>0</v>
      </c>
      <c r="G6" s="16"/>
    </row>
    <row r="7" spans="1:7" ht="50.1" customHeight="1" x14ac:dyDescent="0.15">
      <c r="A7" s="23" t="s">
        <v>6</v>
      </c>
      <c r="B7" s="23">
        <f>COUNTA(D1:D500)</f>
        <v>1</v>
      </c>
      <c r="G7" s="16"/>
    </row>
    <row r="8" spans="1:7" ht="50.1" customHeight="1" x14ac:dyDescent="0.15">
      <c r="A8" s="23" t="s">
        <v>7</v>
      </c>
      <c r="B8" s="25">
        <f>B6 / B7</f>
        <v>0</v>
      </c>
      <c r="G8" s="16"/>
    </row>
    <row r="9" spans="1:7" ht="50.1" customHeight="1" x14ac:dyDescent="0.15">
      <c r="G9" s="16"/>
    </row>
    <row r="10" spans="1:7" ht="50.1" customHeight="1" x14ac:dyDescent="0.15">
      <c r="G10" s="16"/>
    </row>
    <row r="11" spans="1:7" ht="50.1" customHeight="1" x14ac:dyDescent="0.15">
      <c r="G11" s="16"/>
    </row>
    <row r="12" spans="1:7" ht="50.1" customHeight="1" x14ac:dyDescent="0.15">
      <c r="G12" s="16"/>
    </row>
    <row r="13" spans="1:7" ht="50.1" customHeight="1" x14ac:dyDescent="0.15">
      <c r="G13" s="16"/>
    </row>
    <row r="14" spans="1:7" ht="50.1" customHeight="1" x14ac:dyDescent="0.15">
      <c r="G14" s="16"/>
    </row>
    <row r="15" spans="1:7" ht="50.1" customHeight="1" x14ac:dyDescent="0.15">
      <c r="G15" s="16"/>
    </row>
    <row r="16" spans="1:7" ht="50.1" customHeight="1" x14ac:dyDescent="0.15">
      <c r="G16" s="16"/>
    </row>
    <row r="17" spans="7:7" ht="50.1" customHeight="1" x14ac:dyDescent="0.15">
      <c r="G17" s="16"/>
    </row>
    <row r="18" spans="7:7" ht="50.1" customHeight="1" x14ac:dyDescent="0.15">
      <c r="G18" s="16"/>
    </row>
    <row r="19" spans="7:7" ht="50.1" customHeight="1" x14ac:dyDescent="0.15">
      <c r="G19" s="16"/>
    </row>
    <row r="20" spans="7:7" ht="50.1" customHeight="1" x14ac:dyDescent="0.15">
      <c r="G20" s="16"/>
    </row>
    <row r="21" spans="7:7" ht="50.1" customHeight="1" x14ac:dyDescent="0.15">
      <c r="G21" s="16"/>
    </row>
    <row r="22" spans="7:7" ht="50.1" customHeight="1" x14ac:dyDescent="0.15">
      <c r="G22" s="16"/>
    </row>
    <row r="23" spans="7:7" ht="50.1" customHeight="1" x14ac:dyDescent="0.15">
      <c r="G23" s="16"/>
    </row>
    <row r="24" spans="7:7" ht="50.1" customHeight="1" x14ac:dyDescent="0.15">
      <c r="G24" s="16"/>
    </row>
    <row r="25" spans="7:7" ht="50.1" customHeight="1" x14ac:dyDescent="0.15">
      <c r="G25" s="16"/>
    </row>
    <row r="26" spans="7:7" ht="50.1" customHeight="1" x14ac:dyDescent="0.15">
      <c r="G26" s="16"/>
    </row>
    <row r="27" spans="7:7" ht="50.1" customHeight="1" x14ac:dyDescent="0.15">
      <c r="G27" s="16"/>
    </row>
    <row r="28" spans="7:7" ht="50.1" customHeight="1" x14ac:dyDescent="0.15">
      <c r="G28" s="16"/>
    </row>
    <row r="29" spans="7:7" ht="50.1" customHeight="1" x14ac:dyDescent="0.15">
      <c r="G29" s="16"/>
    </row>
    <row r="30" spans="7:7" ht="50.1" customHeight="1" x14ac:dyDescent="0.15">
      <c r="G30" s="16"/>
    </row>
    <row r="31" spans="7:7" ht="50.1" customHeight="1" x14ac:dyDescent="0.15">
      <c r="G31" s="22"/>
    </row>
    <row r="32" spans="7:7" ht="50.1" customHeight="1" x14ac:dyDescent="0.15">
      <c r="G32" s="16"/>
    </row>
    <row r="33" spans="7:7" ht="50.1" customHeight="1" x14ac:dyDescent="0.15">
      <c r="G33" s="16"/>
    </row>
    <row r="34" spans="7:7" ht="50.1" customHeight="1" x14ac:dyDescent="0.15">
      <c r="G34" s="16"/>
    </row>
    <row r="35" spans="7:7" ht="50.1" customHeight="1" x14ac:dyDescent="0.15">
      <c r="G35" s="16"/>
    </row>
    <row r="36" spans="7:7" ht="50.1" customHeight="1" x14ac:dyDescent="0.15">
      <c r="G36" s="16"/>
    </row>
    <row r="37" spans="7:7" ht="50.1" customHeight="1" x14ac:dyDescent="0.15">
      <c r="G37" s="16"/>
    </row>
    <row r="38" spans="7:7" ht="50.1" customHeight="1" x14ac:dyDescent="0.15">
      <c r="G38" s="16"/>
    </row>
    <row r="39" spans="7:7" ht="50.1" customHeight="1" x14ac:dyDescent="0.15">
      <c r="G39" s="16"/>
    </row>
    <row r="40" spans="7:7" ht="50.1" customHeight="1" x14ac:dyDescent="0.15">
      <c r="G40" s="16"/>
    </row>
    <row r="41" spans="7:7" ht="50.1" customHeight="1" x14ac:dyDescent="0.15">
      <c r="G41" s="16"/>
    </row>
    <row r="42" spans="7:7" ht="50.1" customHeight="1" x14ac:dyDescent="0.15">
      <c r="G42" s="16"/>
    </row>
    <row r="43" spans="7:7" ht="50.1" customHeight="1" x14ac:dyDescent="0.15">
      <c r="G43" s="16"/>
    </row>
    <row r="44" spans="7:7" ht="50.1" customHeight="1" x14ac:dyDescent="0.15">
      <c r="G44" s="16"/>
    </row>
    <row r="45" spans="7:7" ht="50.1" customHeight="1" x14ac:dyDescent="0.15">
      <c r="G45" s="16"/>
    </row>
    <row r="46" spans="7:7" ht="50.1" customHeight="1" x14ac:dyDescent="0.15">
      <c r="G46" s="16"/>
    </row>
    <row r="47" spans="7:7" ht="50.1" customHeight="1" x14ac:dyDescent="0.15">
      <c r="G47" s="16"/>
    </row>
    <row r="48" spans="7:7" ht="50.1" customHeight="1" x14ac:dyDescent="0.15">
      <c r="G48" s="46"/>
    </row>
    <row r="49" spans="7:7" ht="50.1" customHeight="1" x14ac:dyDescent="0.15">
      <c r="G49" s="16"/>
    </row>
    <row r="50" spans="7:7" ht="50.1" customHeight="1" x14ac:dyDescent="0.15">
      <c r="G50" s="16"/>
    </row>
    <row r="51" spans="7:7" ht="50.1" customHeight="1" x14ac:dyDescent="0.15">
      <c r="G51" s="16"/>
    </row>
    <row r="52" spans="7:7" ht="50.1" customHeight="1" x14ac:dyDescent="0.15">
      <c r="G52" s="16"/>
    </row>
    <row r="53" spans="7:7" ht="50.1" customHeight="1" x14ac:dyDescent="0.15">
      <c r="G53" s="16"/>
    </row>
    <row r="54" spans="7:7" ht="50.1" customHeight="1" x14ac:dyDescent="0.15">
      <c r="G54" s="16"/>
    </row>
    <row r="55" spans="7:7" ht="50.1" customHeight="1" x14ac:dyDescent="0.15">
      <c r="G55" s="16"/>
    </row>
    <row r="56" spans="7:7" ht="50.1" customHeight="1" x14ac:dyDescent="0.15">
      <c r="G56" s="16"/>
    </row>
    <row r="57" spans="7:7" ht="50.1" customHeight="1" x14ac:dyDescent="0.15">
      <c r="G57" s="16"/>
    </row>
    <row r="58" spans="7:7" ht="50.1" customHeight="1" x14ac:dyDescent="0.15">
      <c r="G58" s="16"/>
    </row>
    <row r="59" spans="7:7" ht="50.1" customHeight="1" x14ac:dyDescent="0.15">
      <c r="G59" s="16"/>
    </row>
    <row r="60" spans="7:7" ht="50.1" customHeight="1" x14ac:dyDescent="0.15">
      <c r="G60" s="16"/>
    </row>
    <row r="61" spans="7:7" ht="50.1" customHeight="1" x14ac:dyDescent="0.15">
      <c r="G61" s="16"/>
    </row>
    <row r="62" spans="7:7" ht="50.1" customHeight="1" x14ac:dyDescent="0.15">
      <c r="G62" s="16"/>
    </row>
    <row r="63" spans="7:7" ht="50.1" customHeight="1" x14ac:dyDescent="0.15">
      <c r="G63" s="16"/>
    </row>
    <row r="64" spans="7:7" ht="50.1" customHeight="1" x14ac:dyDescent="0.15">
      <c r="G64" s="16"/>
    </row>
    <row r="65" spans="4:7" ht="50.1" customHeight="1" x14ac:dyDescent="0.15">
      <c r="G65" s="16"/>
    </row>
    <row r="66" spans="4:7" ht="50.1" customHeight="1" x14ac:dyDescent="0.15">
      <c r="G66" s="16"/>
    </row>
    <row r="67" spans="4:7" ht="50.1" customHeight="1" x14ac:dyDescent="0.15">
      <c r="G67" s="16"/>
    </row>
    <row r="68" spans="4:7" ht="50.1" customHeight="1" x14ac:dyDescent="0.15">
      <c r="G68" s="16"/>
    </row>
    <row r="69" spans="4:7" ht="50.1" customHeight="1" x14ac:dyDescent="0.15">
      <c r="G69" s="16"/>
    </row>
    <row r="70" spans="4:7" ht="50.1" customHeight="1" x14ac:dyDescent="0.15">
      <c r="G70" s="16"/>
    </row>
    <row r="71" spans="4:7" ht="50.1" customHeight="1" x14ac:dyDescent="0.15">
      <c r="G71" s="16"/>
    </row>
    <row r="72" spans="4:7" ht="50.1" customHeight="1" x14ac:dyDescent="0.15">
      <c r="G72" s="16"/>
    </row>
    <row r="73" spans="4:7" ht="50.1" customHeight="1" x14ac:dyDescent="0.15">
      <c r="G73" s="16"/>
    </row>
    <row r="74" spans="4:7" ht="50.1" customHeight="1" x14ac:dyDescent="0.15">
      <c r="G74" s="16"/>
    </row>
    <row r="75" spans="4:7" ht="50.1" customHeight="1" x14ac:dyDescent="0.15">
      <c r="G75" s="16"/>
    </row>
    <row r="76" spans="4:7" ht="50.1" customHeight="1" x14ac:dyDescent="0.15">
      <c r="G76" s="16"/>
    </row>
    <row r="77" spans="4:7" ht="50.1" customHeight="1" x14ac:dyDescent="0.15">
      <c r="G77" s="16"/>
    </row>
    <row r="78" spans="4:7" ht="50.1" customHeight="1" x14ac:dyDescent="0.15">
      <c r="G78" s="16"/>
    </row>
    <row r="79" spans="4:7" ht="50.1" customHeight="1" x14ac:dyDescent="0.15">
      <c r="D79" s="5"/>
      <c r="E79" s="21"/>
      <c r="G79" s="16"/>
    </row>
    <row r="80" spans="4:7" ht="50.1" customHeight="1" x14ac:dyDescent="0.15">
      <c r="G80" s="16"/>
    </row>
    <row r="81" spans="4:7" ht="50.1" customHeight="1" x14ac:dyDescent="0.15">
      <c r="G81" s="16"/>
    </row>
    <row r="82" spans="4:7" ht="50.1" customHeight="1" x14ac:dyDescent="0.15">
      <c r="G82" s="16"/>
    </row>
    <row r="83" spans="4:7" ht="50.1" customHeight="1" x14ac:dyDescent="0.15">
      <c r="G83" s="16"/>
    </row>
    <row r="84" spans="4:7" ht="50.1" customHeight="1" x14ac:dyDescent="0.15">
      <c r="G84" s="16"/>
    </row>
    <row r="85" spans="4:7" ht="50.1" customHeight="1" x14ac:dyDescent="0.15">
      <c r="G85" s="16"/>
    </row>
    <row r="86" spans="4:7" ht="50.1" customHeight="1" x14ac:dyDescent="0.15">
      <c r="G86" s="16"/>
    </row>
    <row r="87" spans="4:7" ht="50.1" customHeight="1" x14ac:dyDescent="0.15">
      <c r="G87" s="16"/>
    </row>
    <row r="88" spans="4:7" ht="50.1" customHeight="1" x14ac:dyDescent="0.15">
      <c r="G88" s="16"/>
    </row>
    <row r="89" spans="4:7" ht="50.1" customHeight="1" x14ac:dyDescent="0.15">
      <c r="G89" s="16"/>
    </row>
    <row r="90" spans="4:7" ht="50.1" customHeight="1" x14ac:dyDescent="0.15">
      <c r="G90" s="16"/>
    </row>
    <row r="91" spans="4:7" ht="50.1" customHeight="1" x14ac:dyDescent="0.15">
      <c r="G91" s="16"/>
    </row>
    <row r="92" spans="4:7" ht="50.1" customHeight="1" x14ac:dyDescent="0.15">
      <c r="G92" s="16"/>
    </row>
    <row r="93" spans="4:7" ht="50.1" customHeight="1" x14ac:dyDescent="0.15">
      <c r="G93" s="16"/>
    </row>
    <row r="94" spans="4:7" ht="50.1" customHeight="1" x14ac:dyDescent="0.15">
      <c r="G94" s="16"/>
    </row>
    <row r="95" spans="4:7" ht="50.1" customHeight="1" x14ac:dyDescent="0.15">
      <c r="G95" s="16"/>
    </row>
    <row r="96" spans="4:7" ht="50.1" customHeight="1" x14ac:dyDescent="0.15">
      <c r="D96" s="5"/>
      <c r="E96" s="21"/>
      <c r="G96" s="16"/>
    </row>
    <row r="97" spans="4:7" ht="50.1" customHeight="1" x14ac:dyDescent="0.15">
      <c r="G97" s="16"/>
    </row>
    <row r="98" spans="4:7" ht="50.1" customHeight="1" x14ac:dyDescent="0.15">
      <c r="G98" s="16"/>
    </row>
    <row r="99" spans="4:7" ht="50.1" customHeight="1" x14ac:dyDescent="0.15">
      <c r="G99" s="16"/>
    </row>
    <row r="100" spans="4:7" ht="50.1" customHeight="1" x14ac:dyDescent="0.15">
      <c r="G100" s="16"/>
    </row>
    <row r="101" spans="4:7" ht="50.1" customHeight="1" x14ac:dyDescent="0.15">
      <c r="D101" s="5"/>
      <c r="E101" s="21"/>
      <c r="G101" s="16"/>
    </row>
    <row r="102" spans="4:7" ht="50.1" customHeight="1" x14ac:dyDescent="0.15">
      <c r="G102" s="16"/>
    </row>
    <row r="103" spans="4:7" ht="50.1" customHeight="1" x14ac:dyDescent="0.15">
      <c r="G103" s="16"/>
    </row>
    <row r="104" spans="4:7" ht="50.1" customHeight="1" x14ac:dyDescent="0.15">
      <c r="G104" s="16"/>
    </row>
    <row r="105" spans="4:7" ht="50.1" customHeight="1" x14ac:dyDescent="0.15">
      <c r="G105" s="16"/>
    </row>
    <row r="106" spans="4:7" ht="50.1" customHeight="1" x14ac:dyDescent="0.15">
      <c r="G106" s="16"/>
    </row>
    <row r="107" spans="4:7" ht="50.1" customHeight="1" x14ac:dyDescent="0.15">
      <c r="G107" s="16"/>
    </row>
    <row r="108" spans="4:7" ht="50.1" customHeight="1" x14ac:dyDescent="0.15">
      <c r="G108" s="16"/>
    </row>
    <row r="109" spans="4:7" ht="50.1" customHeight="1" x14ac:dyDescent="0.15">
      <c r="G109" s="16"/>
    </row>
    <row r="110" spans="4:7" ht="50.1" customHeight="1" x14ac:dyDescent="0.15">
      <c r="G110" s="16"/>
    </row>
    <row r="111" spans="4:7" ht="50.1" customHeight="1" x14ac:dyDescent="0.15">
      <c r="G111" s="16"/>
    </row>
    <row r="112" spans="4:7" ht="50.1" customHeight="1" x14ac:dyDescent="0.15">
      <c r="G112" s="16"/>
    </row>
    <row r="113" spans="4:7" ht="50.1" customHeight="1" x14ac:dyDescent="0.15">
      <c r="G113" s="16"/>
    </row>
    <row r="114" spans="4:7" ht="50.1" customHeight="1" x14ac:dyDescent="0.15">
      <c r="D114" s="5"/>
      <c r="E114" s="21"/>
      <c r="G114" s="16"/>
    </row>
    <row r="115" spans="4:7" ht="50.1" customHeight="1" x14ac:dyDescent="0.15">
      <c r="G115" s="16"/>
    </row>
    <row r="116" spans="4:7" ht="50.1" customHeight="1" x14ac:dyDescent="0.15">
      <c r="G116" s="16"/>
    </row>
    <row r="117" spans="4:7" ht="50.1" customHeight="1" x14ac:dyDescent="0.15">
      <c r="G117" s="16"/>
    </row>
    <row r="118" spans="4:7" ht="50.1" customHeight="1" x14ac:dyDescent="0.15">
      <c r="G118" s="16"/>
    </row>
    <row r="119" spans="4:7" ht="50.1" customHeight="1" x14ac:dyDescent="0.15">
      <c r="G119" s="16"/>
    </row>
    <row r="120" spans="4:7" ht="50.1" customHeight="1" x14ac:dyDescent="0.15">
      <c r="G120" s="16"/>
    </row>
    <row r="121" spans="4:7" ht="50.1" customHeight="1" x14ac:dyDescent="0.15">
      <c r="G121" s="16"/>
    </row>
    <row r="122" spans="4:7" ht="50.1" customHeight="1" x14ac:dyDescent="0.15">
      <c r="G122" s="16"/>
    </row>
    <row r="123" spans="4:7" ht="50.1" customHeight="1" x14ac:dyDescent="0.15">
      <c r="G123" s="16"/>
    </row>
    <row r="124" spans="4:7" ht="50.1" customHeight="1" x14ac:dyDescent="0.15">
      <c r="G124" s="16"/>
    </row>
    <row r="125" spans="4:7" ht="50.1" customHeight="1" x14ac:dyDescent="0.15">
      <c r="G125" s="16"/>
    </row>
    <row r="126" spans="4:7" ht="50.1" customHeight="1" x14ac:dyDescent="0.15">
      <c r="G126" s="16"/>
    </row>
    <row r="127" spans="4:7" ht="50.1" customHeight="1" x14ac:dyDescent="0.15">
      <c r="G127" s="16"/>
    </row>
    <row r="128" spans="4:7" ht="50.1" customHeight="1" x14ac:dyDescent="0.15">
      <c r="G128" s="16"/>
    </row>
    <row r="129" spans="4:7" ht="50.1" customHeight="1" x14ac:dyDescent="0.15">
      <c r="D129" s="5"/>
      <c r="E129" s="21"/>
      <c r="G129" s="16"/>
    </row>
    <row r="130" spans="4:7" ht="50.1" customHeight="1" x14ac:dyDescent="0.15">
      <c r="G130" s="16"/>
    </row>
    <row r="131" spans="4:7" ht="50.1" customHeight="1" x14ac:dyDescent="0.15">
      <c r="G131" s="16"/>
    </row>
    <row r="132" spans="4:7" ht="50.1" customHeight="1" x14ac:dyDescent="0.15">
      <c r="G132" s="16"/>
    </row>
    <row r="133" spans="4:7" ht="50.1" customHeight="1" x14ac:dyDescent="0.15">
      <c r="G133" s="16"/>
    </row>
    <row r="134" spans="4:7" ht="50.1" customHeight="1" x14ac:dyDescent="0.15">
      <c r="G134" s="16"/>
    </row>
    <row r="135" spans="4:7" ht="50.1" customHeight="1" x14ac:dyDescent="0.15">
      <c r="G135" s="16"/>
    </row>
    <row r="136" spans="4:7" ht="50.1" customHeight="1" x14ac:dyDescent="0.15">
      <c r="D136" s="5"/>
      <c r="E136" s="21"/>
      <c r="G136" s="16"/>
    </row>
    <row r="137" spans="4:7" ht="50.1" customHeight="1" x14ac:dyDescent="0.15">
      <c r="G137" s="16"/>
    </row>
    <row r="138" spans="4:7" ht="50.1" customHeight="1" x14ac:dyDescent="0.15">
      <c r="G138" s="16"/>
    </row>
    <row r="139" spans="4:7" ht="50.1" customHeight="1" x14ac:dyDescent="0.15">
      <c r="G139" s="16"/>
    </row>
    <row r="140" spans="4:7" ht="50.1" customHeight="1" x14ac:dyDescent="0.15">
      <c r="G140" s="16"/>
    </row>
    <row r="141" spans="4:7" ht="50.1" customHeight="1" x14ac:dyDescent="0.15">
      <c r="G141" s="16"/>
    </row>
    <row r="142" spans="4:7" ht="50.1" customHeight="1" x14ac:dyDescent="0.15">
      <c r="G142" s="16"/>
    </row>
    <row r="143" spans="4:7" ht="50.1" customHeight="1" x14ac:dyDescent="0.15">
      <c r="G143" s="16"/>
    </row>
    <row r="144" spans="4:7" ht="50.1" customHeight="1" x14ac:dyDescent="0.15">
      <c r="G144" s="16"/>
    </row>
    <row r="145" spans="4:7" ht="50.1" customHeight="1" x14ac:dyDescent="0.15">
      <c r="G145" s="16"/>
    </row>
    <row r="146" spans="4:7" ht="50.1" customHeight="1" x14ac:dyDescent="0.15">
      <c r="G146" s="16"/>
    </row>
    <row r="147" spans="4:7" ht="50.1" customHeight="1" x14ac:dyDescent="0.15">
      <c r="G147" s="16"/>
    </row>
    <row r="148" spans="4:7" ht="50.1" customHeight="1" x14ac:dyDescent="0.15">
      <c r="G148" s="16"/>
    </row>
    <row r="149" spans="4:7" ht="50.1" customHeight="1" x14ac:dyDescent="0.15">
      <c r="D149" s="5"/>
      <c r="E149" s="21"/>
      <c r="G149" s="16"/>
    </row>
    <row r="150" spans="4:7" ht="50.1" customHeight="1" x14ac:dyDescent="0.15">
      <c r="G150" s="16"/>
    </row>
    <row r="151" spans="4:7" ht="50.1" customHeight="1" x14ac:dyDescent="0.15">
      <c r="G151" s="16"/>
    </row>
    <row r="152" spans="4:7" ht="50.1" customHeight="1" x14ac:dyDescent="0.15">
      <c r="G152" s="16"/>
    </row>
    <row r="153" spans="4:7" ht="50.1" customHeight="1" x14ac:dyDescent="0.15">
      <c r="G153" s="16"/>
    </row>
    <row r="154" spans="4:7" ht="50.1" customHeight="1" x14ac:dyDescent="0.15">
      <c r="G154" s="16"/>
    </row>
    <row r="155" spans="4:7" ht="50.1" customHeight="1" x14ac:dyDescent="0.15">
      <c r="G155" s="16"/>
    </row>
    <row r="156" spans="4:7" ht="50.1" customHeight="1" x14ac:dyDescent="0.15">
      <c r="D156" s="5"/>
      <c r="E156" s="21"/>
      <c r="G156" s="16"/>
    </row>
    <row r="157" spans="4:7" ht="50.1" customHeight="1" x14ac:dyDescent="0.15">
      <c r="G157" s="16"/>
    </row>
    <row r="158" spans="4:7" ht="50.1" customHeight="1" x14ac:dyDescent="0.15">
      <c r="D158" s="5"/>
      <c r="E158" s="21"/>
      <c r="G158" s="16"/>
    </row>
    <row r="159" spans="4:7" ht="50.1" customHeight="1" x14ac:dyDescent="0.15">
      <c r="G159" s="16"/>
    </row>
    <row r="160" spans="4:7" ht="50.1" customHeight="1" x14ac:dyDescent="0.15">
      <c r="G160" s="22"/>
    </row>
    <row r="161" spans="4:7" ht="50.1" customHeight="1" x14ac:dyDescent="0.15">
      <c r="G161" s="16"/>
    </row>
    <row r="162" spans="4:7" ht="50.1" customHeight="1" x14ac:dyDescent="0.15">
      <c r="G162" s="16"/>
    </row>
    <row r="163" spans="4:7" ht="50.1" customHeight="1" x14ac:dyDescent="0.15">
      <c r="G163" s="16"/>
    </row>
    <row r="164" spans="4:7" ht="50.1" customHeight="1" x14ac:dyDescent="0.15">
      <c r="G164" s="16"/>
    </row>
    <row r="165" spans="4:7" ht="50.1" customHeight="1" x14ac:dyDescent="0.15">
      <c r="G165" s="16"/>
    </row>
    <row r="166" spans="4:7" ht="50.1" customHeight="1" x14ac:dyDescent="0.15">
      <c r="D166" s="5"/>
      <c r="E166" s="21"/>
      <c r="G166" s="22"/>
    </row>
    <row r="167" spans="4:7" ht="50.1" customHeight="1" x14ac:dyDescent="0.15">
      <c r="G167" s="16"/>
    </row>
    <row r="168" spans="4:7" ht="50.1" customHeight="1" x14ac:dyDescent="0.15">
      <c r="D168" s="5"/>
      <c r="E168" s="21"/>
      <c r="G168" s="16"/>
    </row>
    <row r="169" spans="4:7" ht="50.1" customHeight="1" x14ac:dyDescent="0.15">
      <c r="G169" s="16"/>
    </row>
    <row r="170" spans="4:7" ht="50.1" customHeight="1" x14ac:dyDescent="0.15">
      <c r="G170" s="16"/>
    </row>
    <row r="171" spans="4:7" ht="50.1" customHeight="1" x14ac:dyDescent="0.15">
      <c r="D171" s="5"/>
      <c r="E171" s="21"/>
      <c r="G171" s="16"/>
    </row>
    <row r="172" spans="4:7" ht="50.1" customHeight="1" x14ac:dyDescent="0.15">
      <c r="G172" s="16"/>
    </row>
    <row r="173" spans="4:7" ht="50.1" customHeight="1" x14ac:dyDescent="0.15">
      <c r="G173" s="16"/>
    </row>
    <row r="174" spans="4:7" ht="50.1" customHeight="1" x14ac:dyDescent="0.15">
      <c r="G174" s="16"/>
    </row>
    <row r="175" spans="4:7" ht="50.1" customHeight="1" x14ac:dyDescent="0.15">
      <c r="D175" s="5"/>
      <c r="E175" s="21"/>
      <c r="G175" s="16"/>
    </row>
    <row r="176" spans="4:7" ht="50.1" customHeight="1" x14ac:dyDescent="0.15">
      <c r="G176" s="16"/>
    </row>
    <row r="177" spans="4:7" ht="50.1" customHeight="1" x14ac:dyDescent="0.15">
      <c r="G177" s="16"/>
    </row>
    <row r="178" spans="4:7" ht="50.1" customHeight="1" x14ac:dyDescent="0.15">
      <c r="D178" s="5"/>
      <c r="E178" s="21"/>
      <c r="G178" s="16"/>
    </row>
    <row r="179" spans="4:7" ht="50.1" customHeight="1" x14ac:dyDescent="0.15">
      <c r="G179" s="16"/>
    </row>
    <row r="180" spans="4:7" ht="50.1" customHeight="1" x14ac:dyDescent="0.15">
      <c r="G180" s="16"/>
    </row>
    <row r="181" spans="4:7" ht="50.1" customHeight="1" x14ac:dyDescent="0.15">
      <c r="G181" s="16"/>
    </row>
    <row r="182" spans="4:7" ht="50.1" customHeight="1" x14ac:dyDescent="0.15">
      <c r="G182" s="16"/>
    </row>
    <row r="183" spans="4:7" ht="50.1" customHeight="1" x14ac:dyDescent="0.15">
      <c r="D183" s="5"/>
      <c r="E183" s="21"/>
      <c r="G183" s="16"/>
    </row>
    <row r="184" spans="4:7" ht="50.1" customHeight="1" x14ac:dyDescent="0.15">
      <c r="G184" s="16"/>
    </row>
    <row r="185" spans="4:7" ht="50.1" customHeight="1" x14ac:dyDescent="0.15">
      <c r="G185" s="16"/>
    </row>
    <row r="186" spans="4:7" ht="50.1" customHeight="1" x14ac:dyDescent="0.15">
      <c r="G186" s="16"/>
    </row>
    <row r="187" spans="4:7" ht="50.1" customHeight="1" x14ac:dyDescent="0.15">
      <c r="G187" s="16"/>
    </row>
    <row r="188" spans="4:7" ht="50.1" customHeight="1" x14ac:dyDescent="0.15">
      <c r="G188" s="16"/>
    </row>
    <row r="189" spans="4:7" ht="50.1" customHeight="1" x14ac:dyDescent="0.15">
      <c r="G189" s="16"/>
    </row>
    <row r="190" spans="4:7" ht="50.1" customHeight="1" x14ac:dyDescent="0.15">
      <c r="G190" s="16"/>
    </row>
    <row r="191" spans="4:7" ht="50.1" customHeight="1" x14ac:dyDescent="0.15">
      <c r="G191" s="16"/>
    </row>
    <row r="192" spans="4:7" ht="50.1" customHeight="1" x14ac:dyDescent="0.15">
      <c r="G192" s="16"/>
    </row>
    <row r="193" spans="4:7" ht="50.1" customHeight="1" x14ac:dyDescent="0.15">
      <c r="D193" s="5"/>
      <c r="E193" s="21"/>
      <c r="G193" s="16"/>
    </row>
    <row r="194" spans="4:7" ht="50.1" customHeight="1" x14ac:dyDescent="0.15">
      <c r="G194" s="16"/>
    </row>
    <row r="195" spans="4:7" ht="50.1" customHeight="1" x14ac:dyDescent="0.15">
      <c r="G195" s="16"/>
    </row>
    <row r="196" spans="4:7" ht="50.1" customHeight="1" x14ac:dyDescent="0.15">
      <c r="G196" s="16"/>
    </row>
    <row r="197" spans="4:7" ht="50.1" customHeight="1" x14ac:dyDescent="0.15">
      <c r="G197" s="22"/>
    </row>
    <row r="198" spans="4:7" ht="50.1" customHeight="1" x14ac:dyDescent="0.15">
      <c r="G198" s="22"/>
    </row>
    <row r="199" spans="4:7" ht="50.1" customHeight="1" x14ac:dyDescent="0.15">
      <c r="G199" s="16"/>
    </row>
    <row r="200" spans="4:7" ht="50.1" customHeight="1" x14ac:dyDescent="0.15">
      <c r="G200" s="16"/>
    </row>
    <row r="201" spans="4:7" ht="50.1" customHeight="1" x14ac:dyDescent="0.15">
      <c r="G201" s="16"/>
    </row>
    <row r="202" spans="4:7" ht="50.1" customHeight="1" x14ac:dyDescent="0.15">
      <c r="G202" s="16"/>
    </row>
    <row r="203" spans="4:7" ht="50.1" customHeight="1" x14ac:dyDescent="0.15">
      <c r="G203" s="16"/>
    </row>
    <row r="204" spans="4:7" ht="50.1" customHeight="1" x14ac:dyDescent="0.15">
      <c r="G204" s="16"/>
    </row>
    <row r="205" spans="4:7" ht="50.1" customHeight="1" x14ac:dyDescent="0.15">
      <c r="G205" s="16"/>
    </row>
    <row r="206" spans="4:7" ht="50.1" customHeight="1" x14ac:dyDescent="0.15">
      <c r="G206" s="16"/>
    </row>
    <row r="207" spans="4:7" ht="50.1" customHeight="1" x14ac:dyDescent="0.15">
      <c r="G207" s="16"/>
    </row>
    <row r="208" spans="4:7" ht="50.1" customHeight="1" x14ac:dyDescent="0.15">
      <c r="G208" s="16"/>
    </row>
    <row r="209" spans="4:7" ht="50.1" customHeight="1" x14ac:dyDescent="0.15">
      <c r="G209" s="16"/>
    </row>
    <row r="210" spans="4:7" ht="50.1" customHeight="1" x14ac:dyDescent="0.15">
      <c r="G210" s="16"/>
    </row>
    <row r="211" spans="4:7" ht="50.1" customHeight="1" x14ac:dyDescent="0.15">
      <c r="G211" s="16"/>
    </row>
    <row r="212" spans="4:7" ht="50.1" customHeight="1" x14ac:dyDescent="0.15">
      <c r="G212" s="16"/>
    </row>
    <row r="213" spans="4:7" ht="50.1" customHeight="1" x14ac:dyDescent="0.15">
      <c r="D213" s="5"/>
      <c r="E213" s="21"/>
      <c r="G213" s="16"/>
    </row>
    <row r="214" spans="4:7" ht="50.1" customHeight="1" x14ac:dyDescent="0.15">
      <c r="G214" s="16"/>
    </row>
    <row r="215" spans="4:7" ht="50.1" customHeight="1" x14ac:dyDescent="0.15">
      <c r="G215" s="16"/>
    </row>
    <row r="216" spans="4:7" ht="50.1" customHeight="1" x14ac:dyDescent="0.15">
      <c r="G216" s="16"/>
    </row>
    <row r="217" spans="4:7" ht="50.1" customHeight="1" x14ac:dyDescent="0.15">
      <c r="G217" s="16"/>
    </row>
    <row r="218" spans="4:7" ht="50.1" customHeight="1" x14ac:dyDescent="0.15">
      <c r="G218" s="16"/>
    </row>
    <row r="219" spans="4:7" ht="50.1" customHeight="1" x14ac:dyDescent="0.15">
      <c r="G219" s="16"/>
    </row>
    <row r="220" spans="4:7" ht="50.1" customHeight="1" x14ac:dyDescent="0.15">
      <c r="G220" s="16"/>
    </row>
    <row r="221" spans="4:7" ht="50.1" customHeight="1" x14ac:dyDescent="0.15">
      <c r="D221" s="5"/>
      <c r="E221" s="21"/>
      <c r="G221" s="16"/>
    </row>
    <row r="222" spans="4:7" ht="50.1" customHeight="1" x14ac:dyDescent="0.15">
      <c r="G222" s="16"/>
    </row>
    <row r="223" spans="4:7" ht="50.1" customHeight="1" x14ac:dyDescent="0.15">
      <c r="G223" s="16"/>
    </row>
    <row r="224" spans="4:7" ht="50.1" customHeight="1" x14ac:dyDescent="0.15">
      <c r="G224" s="16"/>
    </row>
    <row r="225" spans="4:7" ht="50.1" customHeight="1" x14ac:dyDescent="0.15">
      <c r="D225" s="5"/>
      <c r="E225" s="21"/>
      <c r="G225" s="16"/>
    </row>
    <row r="226" spans="4:7" ht="50.1" customHeight="1" x14ac:dyDescent="0.15">
      <c r="G226" s="16"/>
    </row>
    <row r="227" spans="4:7" ht="50.1" customHeight="1" x14ac:dyDescent="0.15">
      <c r="G227" s="16"/>
    </row>
    <row r="228" spans="4:7" ht="50.1" customHeight="1" x14ac:dyDescent="0.15">
      <c r="G228" s="16"/>
    </row>
    <row r="229" spans="4:7" ht="50.1" customHeight="1" x14ac:dyDescent="0.15">
      <c r="G229" s="16"/>
    </row>
    <row r="230" spans="4:7" ht="50.1" customHeight="1" x14ac:dyDescent="0.15">
      <c r="G230" s="16"/>
    </row>
    <row r="231" spans="4:7" ht="50.1" customHeight="1" x14ac:dyDescent="0.15">
      <c r="G231" s="16"/>
    </row>
    <row r="232" spans="4:7" ht="50.1" customHeight="1" x14ac:dyDescent="0.15">
      <c r="G232" s="16"/>
    </row>
    <row r="233" spans="4:7" ht="50.1" customHeight="1" x14ac:dyDescent="0.15">
      <c r="G233" s="16"/>
    </row>
    <row r="234" spans="4:7" ht="50.1" customHeight="1" x14ac:dyDescent="0.15">
      <c r="G234" s="16"/>
    </row>
    <row r="235" spans="4:7" ht="50.1" customHeight="1" x14ac:dyDescent="0.15">
      <c r="G235" s="16"/>
    </row>
    <row r="236" spans="4:7" ht="50.1" customHeight="1" x14ac:dyDescent="0.15">
      <c r="G236" s="16"/>
    </row>
    <row r="237" spans="4:7" ht="50.1" customHeight="1" x14ac:dyDescent="0.15">
      <c r="D237" s="5"/>
      <c r="E237" s="21"/>
      <c r="G237" s="16"/>
    </row>
    <row r="238" spans="4:7" ht="50.1" customHeight="1" x14ac:dyDescent="0.15">
      <c r="D238" s="5"/>
      <c r="E238" s="21"/>
      <c r="G238" s="16"/>
    </row>
    <row r="239" spans="4:7" ht="50.1" customHeight="1" x14ac:dyDescent="0.15">
      <c r="G239" s="16"/>
    </row>
    <row r="240" spans="4:7" ht="50.1" customHeight="1" x14ac:dyDescent="0.15">
      <c r="G240" s="16"/>
    </row>
    <row r="241" spans="4:7" ht="50.1" customHeight="1" x14ac:dyDescent="0.15">
      <c r="G241" s="16"/>
    </row>
    <row r="242" spans="4:7" ht="50.1" customHeight="1" x14ac:dyDescent="0.15">
      <c r="G242" s="16"/>
    </row>
    <row r="243" spans="4:7" ht="50.1" customHeight="1" x14ac:dyDescent="0.15">
      <c r="G243" s="16"/>
    </row>
    <row r="244" spans="4:7" ht="50.1" customHeight="1" x14ac:dyDescent="0.15">
      <c r="G244" s="16"/>
    </row>
    <row r="245" spans="4:7" ht="50.1" customHeight="1" x14ac:dyDescent="0.15">
      <c r="G245" s="16"/>
    </row>
    <row r="246" spans="4:7" ht="50.1" customHeight="1" x14ac:dyDescent="0.15">
      <c r="G246" s="16"/>
    </row>
    <row r="247" spans="4:7" ht="50.1" customHeight="1" x14ac:dyDescent="0.15">
      <c r="G247" s="16"/>
    </row>
    <row r="248" spans="4:7" ht="50.1" customHeight="1" x14ac:dyDescent="0.15">
      <c r="G248" s="16"/>
    </row>
    <row r="249" spans="4:7" ht="50.1" customHeight="1" x14ac:dyDescent="0.15">
      <c r="G249" s="16"/>
    </row>
    <row r="250" spans="4:7" ht="50.1" customHeight="1" x14ac:dyDescent="0.15">
      <c r="G250" s="16"/>
    </row>
    <row r="251" spans="4:7" ht="50.1" customHeight="1" x14ac:dyDescent="0.15">
      <c r="G251" s="16"/>
    </row>
    <row r="252" spans="4:7" ht="50.1" customHeight="1" x14ac:dyDescent="0.15">
      <c r="G252" s="16"/>
    </row>
    <row r="253" spans="4:7" ht="50.1" customHeight="1" x14ac:dyDescent="0.15">
      <c r="G253" s="16"/>
    </row>
    <row r="254" spans="4:7" ht="50.1" customHeight="1" x14ac:dyDescent="0.15">
      <c r="D254" s="5"/>
      <c r="E254" s="21"/>
      <c r="G254" s="16"/>
    </row>
    <row r="255" spans="4:7" ht="50.1" customHeight="1" x14ac:dyDescent="0.15">
      <c r="G255" s="16"/>
    </row>
    <row r="256" spans="4:7" ht="50.1" customHeight="1" x14ac:dyDescent="0.15">
      <c r="G256" s="16"/>
    </row>
    <row r="257" spans="7:7" ht="50.1" customHeight="1" x14ac:dyDescent="0.15">
      <c r="G257" s="16"/>
    </row>
    <row r="258" spans="7:7" ht="50.1" customHeight="1" x14ac:dyDescent="0.15">
      <c r="G258" s="16"/>
    </row>
    <row r="259" spans="7:7" ht="50.1" customHeight="1" x14ac:dyDescent="0.15">
      <c r="G259" s="16"/>
    </row>
    <row r="260" spans="7:7" ht="50.1" customHeight="1" x14ac:dyDescent="0.15">
      <c r="G260" s="16"/>
    </row>
    <row r="261" spans="7:7" ht="50.1" customHeight="1" x14ac:dyDescent="0.15">
      <c r="G261" s="16"/>
    </row>
    <row r="262" spans="7:7" ht="50.1" customHeight="1" x14ac:dyDescent="0.15">
      <c r="G262" s="16"/>
    </row>
    <row r="263" spans="7:7" ht="50.1" customHeight="1" x14ac:dyDescent="0.15">
      <c r="G263" s="16"/>
    </row>
    <row r="264" spans="7:7" ht="50.1" customHeight="1" x14ac:dyDescent="0.15">
      <c r="G264" s="16"/>
    </row>
    <row r="265" spans="7:7" ht="50.1" customHeight="1" x14ac:dyDescent="0.15">
      <c r="G265" s="16"/>
    </row>
    <row r="266" spans="7:7" ht="50.1" customHeight="1" x14ac:dyDescent="0.15">
      <c r="G266" s="16"/>
    </row>
    <row r="267" spans="7:7" ht="50.1" customHeight="1" x14ac:dyDescent="0.15">
      <c r="G267" s="16"/>
    </row>
    <row r="268" spans="7:7" ht="50.1" customHeight="1" x14ac:dyDescent="0.15">
      <c r="G268" s="16"/>
    </row>
    <row r="269" spans="7:7" ht="50.1" customHeight="1" x14ac:dyDescent="0.15">
      <c r="G269" s="16"/>
    </row>
    <row r="270" spans="7:7" ht="50.1" customHeight="1" x14ac:dyDescent="0.15">
      <c r="G270" s="16"/>
    </row>
    <row r="271" spans="7:7" ht="50.1" customHeight="1" x14ac:dyDescent="0.15">
      <c r="G271" s="16"/>
    </row>
    <row r="272" spans="7:7" ht="50.1" customHeight="1" x14ac:dyDescent="0.15">
      <c r="G272" s="16"/>
    </row>
    <row r="273" spans="4:7" ht="50.1" customHeight="1" x14ac:dyDescent="0.15">
      <c r="G273" s="16"/>
    </row>
    <row r="274" spans="4:7" ht="50.1" customHeight="1" x14ac:dyDescent="0.15">
      <c r="G274" s="16"/>
    </row>
    <row r="275" spans="4:7" ht="50.1" customHeight="1" x14ac:dyDescent="0.15">
      <c r="G275" s="16"/>
    </row>
    <row r="276" spans="4:7" ht="50.1" customHeight="1" x14ac:dyDescent="0.15">
      <c r="D276" s="5"/>
      <c r="E276" s="21"/>
      <c r="G276" s="16"/>
    </row>
    <row r="277" spans="4:7" ht="50.1" customHeight="1" x14ac:dyDescent="0.15">
      <c r="G277" s="16"/>
    </row>
    <row r="278" spans="4:7" ht="50.1" customHeight="1" x14ac:dyDescent="0.15">
      <c r="G278" s="16"/>
    </row>
    <row r="279" spans="4:7" ht="50.1" customHeight="1" x14ac:dyDescent="0.15">
      <c r="G279" s="16"/>
    </row>
    <row r="280" spans="4:7" ht="50.1" customHeight="1" x14ac:dyDescent="0.15">
      <c r="D280" s="5"/>
      <c r="E280" s="21"/>
      <c r="G280" s="16"/>
    </row>
    <row r="281" spans="4:7" ht="50.1" customHeight="1" x14ac:dyDescent="0.15">
      <c r="G281" s="16"/>
    </row>
    <row r="282" spans="4:7" ht="50.1" customHeight="1" x14ac:dyDescent="0.15">
      <c r="G282" s="16"/>
    </row>
    <row r="283" spans="4:7" ht="50.1" customHeight="1" x14ac:dyDescent="0.15">
      <c r="G283" s="16"/>
    </row>
    <row r="284" spans="4:7" ht="50.1" customHeight="1" x14ac:dyDescent="0.15">
      <c r="G284" s="16"/>
    </row>
    <row r="285" spans="4:7" ht="50.1" customHeight="1" x14ac:dyDescent="0.15">
      <c r="G285" s="16"/>
    </row>
    <row r="286" spans="4:7" ht="50.1" customHeight="1" x14ac:dyDescent="0.15">
      <c r="G286" s="16"/>
    </row>
    <row r="287" spans="4:7" ht="50.1" customHeight="1" x14ac:dyDescent="0.15">
      <c r="G287" s="16"/>
    </row>
    <row r="288" spans="4:7" ht="50.1" customHeight="1" x14ac:dyDescent="0.15">
      <c r="G288" s="16"/>
    </row>
    <row r="289" spans="7:7" ht="50.1" customHeight="1" x14ac:dyDescent="0.15">
      <c r="G289" s="16"/>
    </row>
    <row r="290" spans="7:7" ht="50.1" customHeight="1" x14ac:dyDescent="0.15">
      <c r="G290" s="16"/>
    </row>
    <row r="291" spans="7:7" ht="50.1" customHeight="1" x14ac:dyDescent="0.15">
      <c r="G291" s="16"/>
    </row>
    <row r="292" spans="7:7" ht="50.1" customHeight="1" x14ac:dyDescent="0.15">
      <c r="G292" s="16"/>
    </row>
    <row r="293" spans="7:7" ht="50.1" customHeight="1" x14ac:dyDescent="0.15">
      <c r="G293" s="16"/>
    </row>
    <row r="294" spans="7:7" ht="50.1" customHeight="1" x14ac:dyDescent="0.15">
      <c r="G294" s="16"/>
    </row>
    <row r="295" spans="7:7" ht="50.1" customHeight="1" x14ac:dyDescent="0.15">
      <c r="G295" s="16"/>
    </row>
    <row r="296" spans="7:7" ht="50.1" customHeight="1" x14ac:dyDescent="0.15">
      <c r="G296" s="16"/>
    </row>
    <row r="297" spans="7:7" ht="50.1" customHeight="1" x14ac:dyDescent="0.15">
      <c r="G297" s="16"/>
    </row>
    <row r="298" spans="7:7" ht="50.1" customHeight="1" x14ac:dyDescent="0.15">
      <c r="G298" s="16"/>
    </row>
    <row r="299" spans="7:7" ht="50.1" customHeight="1" x14ac:dyDescent="0.15">
      <c r="G299" s="16"/>
    </row>
    <row r="300" spans="7:7" ht="50.1" customHeight="1" x14ac:dyDescent="0.15">
      <c r="G300" s="16"/>
    </row>
    <row r="301" spans="7:7" ht="50.1" customHeight="1" x14ac:dyDescent="0.15">
      <c r="G301" s="16"/>
    </row>
    <row r="302" spans="7:7" ht="50.1" customHeight="1" x14ac:dyDescent="0.15">
      <c r="G302" s="16"/>
    </row>
    <row r="303" spans="7:7" ht="35.25" customHeight="1" x14ac:dyDescent="0.15">
      <c r="G303" s="16"/>
    </row>
    <row r="304" spans="7:7" ht="50.1" customHeight="1" x14ac:dyDescent="0.15">
      <c r="G304" s="16"/>
    </row>
    <row r="305" spans="7:7" ht="50.1" customHeight="1" x14ac:dyDescent="0.15">
      <c r="G305" s="16"/>
    </row>
    <row r="306" spans="7:7" ht="50.1" customHeight="1" x14ac:dyDescent="0.15">
      <c r="G306" s="16"/>
    </row>
    <row r="307" spans="7:7" ht="50.1" customHeight="1" x14ac:dyDescent="0.15">
      <c r="G307" s="16"/>
    </row>
    <row r="308" spans="7:7" ht="50.1" customHeight="1" x14ac:dyDescent="0.15">
      <c r="G308" s="16"/>
    </row>
    <row r="309" spans="7:7" ht="50.1" customHeight="1" x14ac:dyDescent="0.15">
      <c r="G309" s="16"/>
    </row>
    <row r="310" spans="7:7" ht="50.1" customHeight="1" x14ac:dyDescent="0.15">
      <c r="G310" s="16"/>
    </row>
    <row r="311" spans="7:7" ht="50.1" customHeight="1" x14ac:dyDescent="0.15">
      <c r="G311" s="16"/>
    </row>
    <row r="312" spans="7:7" ht="50.1" customHeight="1" x14ac:dyDescent="0.15">
      <c r="G312" s="16"/>
    </row>
    <row r="313" spans="7:7" ht="50.1" customHeight="1" x14ac:dyDescent="0.15">
      <c r="G313" s="16"/>
    </row>
    <row r="314" spans="7:7" ht="50.1" customHeight="1" x14ac:dyDescent="0.15">
      <c r="G314" s="16"/>
    </row>
    <row r="315" spans="7:7" ht="50.1" customHeight="1" x14ac:dyDescent="0.15">
      <c r="G315" s="16"/>
    </row>
    <row r="316" spans="7:7" ht="50.1" customHeight="1" x14ac:dyDescent="0.15">
      <c r="G316" s="16"/>
    </row>
    <row r="317" spans="7:7" ht="50.1" customHeight="1" x14ac:dyDescent="0.15">
      <c r="G317" s="16"/>
    </row>
    <row r="318" spans="7:7" ht="50.1" customHeight="1" x14ac:dyDescent="0.15">
      <c r="G318" s="16"/>
    </row>
    <row r="319" spans="7:7" ht="50.1" customHeight="1" x14ac:dyDescent="0.15">
      <c r="G319" s="16"/>
    </row>
    <row r="320" spans="7:7" ht="50.1" customHeight="1" x14ac:dyDescent="0.15">
      <c r="G320" s="16"/>
    </row>
    <row r="321" spans="4:7" ht="50.1" customHeight="1" x14ac:dyDescent="0.15">
      <c r="G321" s="16"/>
    </row>
    <row r="322" spans="4:7" ht="50.1" customHeight="1" x14ac:dyDescent="0.15">
      <c r="G322" s="16"/>
    </row>
    <row r="323" spans="4:7" ht="50.1" customHeight="1" x14ac:dyDescent="0.15">
      <c r="G323" s="16"/>
    </row>
    <row r="324" spans="4:7" ht="50.1" customHeight="1" x14ac:dyDescent="0.15">
      <c r="G324" s="16"/>
    </row>
    <row r="325" spans="4:7" ht="50.1" customHeight="1" x14ac:dyDescent="0.15">
      <c r="G325" s="16"/>
    </row>
    <row r="326" spans="4:7" ht="50.1" customHeight="1" x14ac:dyDescent="0.15">
      <c r="G326" s="16"/>
    </row>
    <row r="327" spans="4:7" ht="50.1" customHeight="1" x14ac:dyDescent="0.15">
      <c r="G327" s="16"/>
    </row>
    <row r="328" spans="4:7" ht="50.1" customHeight="1" x14ac:dyDescent="0.15">
      <c r="G328" s="16"/>
    </row>
    <row r="329" spans="4:7" ht="50.1" customHeight="1" x14ac:dyDescent="0.15">
      <c r="G329" s="22"/>
    </row>
    <row r="330" spans="4:7" ht="50.1" customHeight="1" x14ac:dyDescent="0.15">
      <c r="G330" s="22"/>
    </row>
    <row r="331" spans="4:7" ht="50.1" customHeight="1" x14ac:dyDescent="0.15">
      <c r="G331" s="47"/>
    </row>
    <row r="332" spans="4:7" ht="50.1" customHeight="1" x14ac:dyDescent="0.15">
      <c r="G332" s="16"/>
    </row>
    <row r="333" spans="4:7" ht="50.1" customHeight="1" x14ac:dyDescent="0.15">
      <c r="G333" s="16"/>
    </row>
    <row r="334" spans="4:7" ht="50.1" customHeight="1" x14ac:dyDescent="0.15">
      <c r="D334" s="5"/>
      <c r="E334" s="21"/>
      <c r="G334" s="16"/>
    </row>
    <row r="335" spans="4:7" ht="50.1" customHeight="1" x14ac:dyDescent="0.15">
      <c r="G335" s="16"/>
    </row>
    <row r="336" spans="4:7" ht="50.1" customHeight="1" x14ac:dyDescent="0.15">
      <c r="G336" s="16"/>
    </row>
    <row r="337" spans="4:7" ht="50.1" customHeight="1" x14ac:dyDescent="0.15">
      <c r="G337" s="16"/>
    </row>
    <row r="338" spans="4:7" ht="50.1" customHeight="1" x14ac:dyDescent="0.15">
      <c r="G338" s="16"/>
    </row>
    <row r="339" spans="4:7" ht="50.1" customHeight="1" x14ac:dyDescent="0.15">
      <c r="G339" s="16"/>
    </row>
    <row r="340" spans="4:7" ht="50.1" customHeight="1" x14ac:dyDescent="0.15">
      <c r="G340" s="16"/>
    </row>
    <row r="341" spans="4:7" ht="50.1" customHeight="1" x14ac:dyDescent="0.15">
      <c r="G341" s="16"/>
    </row>
    <row r="342" spans="4:7" ht="50.1" customHeight="1" x14ac:dyDescent="0.15">
      <c r="G342" s="16"/>
    </row>
    <row r="343" spans="4:7" ht="50.1" customHeight="1" x14ac:dyDescent="0.15">
      <c r="G343" s="16"/>
    </row>
    <row r="344" spans="4:7" ht="50.1" customHeight="1" x14ac:dyDescent="0.15">
      <c r="G344" s="16"/>
    </row>
    <row r="345" spans="4:7" ht="50.1" customHeight="1" x14ac:dyDescent="0.15">
      <c r="D345" s="5"/>
      <c r="E345" s="21"/>
      <c r="G345" s="16"/>
    </row>
    <row r="346" spans="4:7" ht="50.1" customHeight="1" x14ac:dyDescent="0.15">
      <c r="G346" s="16"/>
    </row>
    <row r="347" spans="4:7" ht="50.1" customHeight="1" x14ac:dyDescent="0.15">
      <c r="D347" s="5"/>
      <c r="E347" s="21"/>
      <c r="G347" s="16"/>
    </row>
    <row r="348" spans="4:7" ht="50.1" customHeight="1" x14ac:dyDescent="0.15">
      <c r="D348" s="5"/>
      <c r="E348" s="21"/>
      <c r="G348" s="16"/>
    </row>
    <row r="349" spans="4:7" ht="50.1" customHeight="1" x14ac:dyDescent="0.15">
      <c r="G349" s="16"/>
    </row>
    <row r="350" spans="4:7" ht="50.1" customHeight="1" x14ac:dyDescent="0.15">
      <c r="D350" s="5"/>
      <c r="E350" s="21"/>
      <c r="G350" s="16"/>
    </row>
    <row r="351" spans="4:7" ht="50.1" customHeight="1" x14ac:dyDescent="0.15">
      <c r="G351" s="16"/>
    </row>
    <row r="352" spans="4:7" ht="50.1" customHeight="1" x14ac:dyDescent="0.15">
      <c r="G352" s="16"/>
    </row>
    <row r="353" spans="4:7" ht="50.1" customHeight="1" x14ac:dyDescent="0.15">
      <c r="G353" s="16"/>
    </row>
    <row r="354" spans="4:7" ht="50.1" customHeight="1" x14ac:dyDescent="0.15">
      <c r="G354" s="16"/>
    </row>
    <row r="355" spans="4:7" ht="50.1" customHeight="1" x14ac:dyDescent="0.15">
      <c r="D355" s="5"/>
      <c r="E355" s="21"/>
      <c r="G355" s="16"/>
    </row>
    <row r="356" spans="4:7" ht="50.1" customHeight="1" x14ac:dyDescent="0.15">
      <c r="D356" s="5"/>
      <c r="E356" s="21"/>
      <c r="G356" s="16"/>
    </row>
    <row r="357" spans="4:7" ht="50.1" customHeight="1" x14ac:dyDescent="0.15">
      <c r="G357" s="16"/>
    </row>
    <row r="358" spans="4:7" ht="50.1" customHeight="1" x14ac:dyDescent="0.15">
      <c r="D358" s="5"/>
      <c r="E358" s="21"/>
      <c r="G358" s="16"/>
    </row>
    <row r="359" spans="4:7" ht="50.1" customHeight="1" x14ac:dyDescent="0.15">
      <c r="G359" s="16"/>
    </row>
    <row r="360" spans="4:7" ht="50.1" customHeight="1" x14ac:dyDescent="0.15">
      <c r="G360" s="16"/>
    </row>
    <row r="361" spans="4:7" ht="50.1" customHeight="1" x14ac:dyDescent="0.15">
      <c r="G361" s="16"/>
    </row>
    <row r="362" spans="4:7" ht="50.1" customHeight="1" x14ac:dyDescent="0.15">
      <c r="G362" s="16"/>
    </row>
    <row r="363" spans="4:7" ht="50.1" customHeight="1" x14ac:dyDescent="0.15">
      <c r="G363" s="16"/>
    </row>
    <row r="364" spans="4:7" ht="50.1" customHeight="1" x14ac:dyDescent="0.15">
      <c r="G364" s="16"/>
    </row>
    <row r="365" spans="4:7" ht="50.1" customHeight="1" x14ac:dyDescent="0.15">
      <c r="G365" s="16"/>
    </row>
    <row r="366" spans="4:7" ht="50.1" customHeight="1" x14ac:dyDescent="0.15">
      <c r="G366" s="16"/>
    </row>
    <row r="367" spans="4:7" ht="50.1" customHeight="1" x14ac:dyDescent="0.15">
      <c r="G367" s="16"/>
    </row>
    <row r="368" spans="4:7" ht="50.1" customHeight="1" x14ac:dyDescent="0.15">
      <c r="G368" s="16"/>
    </row>
    <row r="369" spans="4:7" ht="50.1" customHeight="1" x14ac:dyDescent="0.15">
      <c r="G369" s="16"/>
    </row>
    <row r="370" spans="4:7" ht="50.1" customHeight="1" x14ac:dyDescent="0.15">
      <c r="G370" s="16"/>
    </row>
    <row r="371" spans="4:7" ht="50.1" customHeight="1" x14ac:dyDescent="0.15">
      <c r="G371" s="16"/>
    </row>
    <row r="372" spans="4:7" ht="50.1" customHeight="1" x14ac:dyDescent="0.15">
      <c r="D372" s="5"/>
      <c r="E372" s="21"/>
      <c r="G372" s="16"/>
    </row>
    <row r="373" spans="4:7" ht="50.1" customHeight="1" x14ac:dyDescent="0.15">
      <c r="G373" s="16"/>
    </row>
    <row r="374" spans="4:7" ht="50.1" customHeight="1" x14ac:dyDescent="0.15">
      <c r="D374" s="5"/>
      <c r="E374" s="21"/>
      <c r="G374" s="16"/>
    </row>
    <row r="375" spans="4:7" ht="50.1" customHeight="1" x14ac:dyDescent="0.15">
      <c r="G375" s="16"/>
    </row>
    <row r="376" spans="4:7" ht="50.1" customHeight="1" x14ac:dyDescent="0.15">
      <c r="G376" s="16"/>
    </row>
    <row r="377" spans="4:7" ht="50.1" customHeight="1" x14ac:dyDescent="0.15">
      <c r="G377" s="16"/>
    </row>
    <row r="378" spans="4:7" ht="50.1" customHeight="1" x14ac:dyDescent="0.15">
      <c r="G378" s="16"/>
    </row>
    <row r="379" spans="4:7" ht="50.1" customHeight="1" x14ac:dyDescent="0.15">
      <c r="G379" s="16"/>
    </row>
    <row r="380" spans="4:7" ht="50.1" customHeight="1" x14ac:dyDescent="0.15">
      <c r="G380" s="16"/>
    </row>
    <row r="381" spans="4:7" ht="50.1" customHeight="1" x14ac:dyDescent="0.15">
      <c r="G381" s="16"/>
    </row>
    <row r="382" spans="4:7" ht="50.1" customHeight="1" x14ac:dyDescent="0.15">
      <c r="G382" s="16"/>
    </row>
    <row r="383" spans="4:7" ht="50.1" customHeight="1" x14ac:dyDescent="0.15">
      <c r="G383" s="16"/>
    </row>
    <row r="384" spans="4:7" ht="50.1" customHeight="1" x14ac:dyDescent="0.15">
      <c r="G384" s="16"/>
    </row>
    <row r="385" spans="4:7" ht="50.1" customHeight="1" x14ac:dyDescent="0.15">
      <c r="G385" s="16"/>
    </row>
    <row r="386" spans="4:7" ht="50.1" customHeight="1" x14ac:dyDescent="0.15">
      <c r="G386" s="16"/>
    </row>
    <row r="387" spans="4:7" ht="50.1" customHeight="1" x14ac:dyDescent="0.15">
      <c r="G387" s="16"/>
    </row>
    <row r="388" spans="4:7" ht="50.1" customHeight="1" x14ac:dyDescent="0.15">
      <c r="G388" s="16"/>
    </row>
    <row r="389" spans="4:7" ht="50.1" customHeight="1" x14ac:dyDescent="0.15">
      <c r="G389" s="16"/>
    </row>
    <row r="390" spans="4:7" ht="50.1" customHeight="1" x14ac:dyDescent="0.15">
      <c r="D390" s="5"/>
      <c r="E390" s="21"/>
      <c r="G390" s="16"/>
    </row>
    <row r="391" spans="4:7" ht="50.1" customHeight="1" x14ac:dyDescent="0.15">
      <c r="G391" s="16"/>
    </row>
    <row r="392" spans="4:7" ht="50.1" customHeight="1" x14ac:dyDescent="0.15">
      <c r="G392" s="16"/>
    </row>
    <row r="393" spans="4:7" ht="50.1" customHeight="1" x14ac:dyDescent="0.15">
      <c r="G393" s="16"/>
    </row>
    <row r="394" spans="4:7" ht="50.1" customHeight="1" x14ac:dyDescent="0.15">
      <c r="G394" s="16"/>
    </row>
    <row r="395" spans="4:7" ht="50.1" customHeight="1" x14ac:dyDescent="0.15">
      <c r="G395" s="16"/>
    </row>
    <row r="396" spans="4:7" ht="50.1" customHeight="1" x14ac:dyDescent="0.15">
      <c r="D396" s="5"/>
      <c r="E396" s="21"/>
      <c r="G396" s="16"/>
    </row>
    <row r="397" spans="4:7" ht="50.1" customHeight="1" x14ac:dyDescent="0.15">
      <c r="G397" s="16"/>
    </row>
    <row r="398" spans="4:7" ht="50.1" customHeight="1" x14ac:dyDescent="0.15">
      <c r="G398" s="16"/>
    </row>
    <row r="399" spans="4:7" ht="50.1" customHeight="1" x14ac:dyDescent="0.15">
      <c r="G399" s="16"/>
    </row>
    <row r="400" spans="4:7" ht="50.1" customHeight="1" x14ac:dyDescent="0.15">
      <c r="G400" s="16"/>
    </row>
    <row r="401" spans="4:7" ht="50.1" customHeight="1" x14ac:dyDescent="0.15">
      <c r="G401" s="16"/>
    </row>
    <row r="402" spans="4:7" ht="50.1" customHeight="1" x14ac:dyDescent="0.15">
      <c r="D402" s="5"/>
      <c r="E402" s="21"/>
      <c r="G402" s="16"/>
    </row>
    <row r="403" spans="4:7" ht="50.1" customHeight="1" x14ac:dyDescent="0.15">
      <c r="G403" s="16"/>
    </row>
    <row r="404" spans="4:7" ht="50.1" customHeight="1" x14ac:dyDescent="0.15">
      <c r="G404" s="16"/>
    </row>
    <row r="405" spans="4:7" ht="50.1" customHeight="1" x14ac:dyDescent="0.15">
      <c r="G405" s="16"/>
    </row>
    <row r="406" spans="4:7" ht="50.1" customHeight="1" x14ac:dyDescent="0.15">
      <c r="G406" s="16"/>
    </row>
    <row r="407" spans="4:7" ht="50.1" customHeight="1" x14ac:dyDescent="0.15">
      <c r="D407" s="5"/>
      <c r="E407" s="21"/>
      <c r="G407" s="16"/>
    </row>
    <row r="408" spans="4:7" ht="50.1" customHeight="1" x14ac:dyDescent="0.15">
      <c r="G408" s="16"/>
    </row>
    <row r="409" spans="4:7" ht="50.1" customHeight="1" x14ac:dyDescent="0.15">
      <c r="G409" s="16"/>
    </row>
    <row r="410" spans="4:7" ht="50.1" customHeight="1" x14ac:dyDescent="0.15">
      <c r="D410" s="5"/>
      <c r="E410" s="21"/>
      <c r="G410" s="16"/>
    </row>
    <row r="411" spans="4:7" ht="50.1" customHeight="1" x14ac:dyDescent="0.15">
      <c r="G411" s="16"/>
    </row>
    <row r="412" spans="4:7" ht="50.1" customHeight="1" x14ac:dyDescent="0.15">
      <c r="G412" s="16"/>
    </row>
    <row r="413" spans="4:7" ht="50.1" customHeight="1" x14ac:dyDescent="0.15">
      <c r="G413" s="16"/>
    </row>
    <row r="414" spans="4:7" ht="50.1" customHeight="1" x14ac:dyDescent="0.15">
      <c r="G414" s="16"/>
    </row>
    <row r="415" spans="4:7" ht="50.1" customHeight="1" x14ac:dyDescent="0.15">
      <c r="D415" s="5"/>
      <c r="E415" s="21"/>
      <c r="G415" s="16"/>
    </row>
    <row r="416" spans="4:7" ht="50.1" customHeight="1" x14ac:dyDescent="0.15">
      <c r="D416" s="5"/>
      <c r="E416" s="21"/>
      <c r="G416" s="16"/>
    </row>
    <row r="417" spans="4:7" ht="50.1" customHeight="1" x14ac:dyDescent="0.15">
      <c r="G417" s="16"/>
    </row>
    <row r="418" spans="4:7" ht="50.1" customHeight="1" x14ac:dyDescent="0.15">
      <c r="G418" s="16"/>
    </row>
    <row r="419" spans="4:7" ht="50.1" customHeight="1" x14ac:dyDescent="0.15">
      <c r="D419" s="5"/>
      <c r="E419" s="21"/>
      <c r="G419" s="16"/>
    </row>
    <row r="420" spans="4:7" ht="50.1" customHeight="1" x14ac:dyDescent="0.15">
      <c r="D420" s="5"/>
      <c r="E420" s="21"/>
      <c r="G420" s="16"/>
    </row>
    <row r="421" spans="4:7" ht="50.1" customHeight="1" x14ac:dyDescent="0.15">
      <c r="G421" s="16"/>
    </row>
    <row r="422" spans="4:7" ht="50.1" customHeight="1" x14ac:dyDescent="0.15">
      <c r="G422" s="16"/>
    </row>
    <row r="423" spans="4:7" ht="50.1" customHeight="1" x14ac:dyDescent="0.15">
      <c r="G423" s="16"/>
    </row>
    <row r="424" spans="4:7" ht="50.1" customHeight="1" x14ac:dyDescent="0.15">
      <c r="G424" s="16"/>
    </row>
    <row r="425" spans="4:7" ht="50.1" customHeight="1" x14ac:dyDescent="0.15">
      <c r="G425" s="16"/>
    </row>
    <row r="426" spans="4:7" ht="50.1" customHeight="1" x14ac:dyDescent="0.15">
      <c r="G426" s="16"/>
    </row>
    <row r="427" spans="4:7" ht="50.1" customHeight="1" x14ac:dyDescent="0.15">
      <c r="G427" s="16"/>
    </row>
    <row r="428" spans="4:7" ht="50.1" customHeight="1" x14ac:dyDescent="0.15">
      <c r="D428" s="5"/>
      <c r="E428" s="21"/>
      <c r="G428" s="16"/>
    </row>
    <row r="429" spans="4:7" ht="50.1" customHeight="1" x14ac:dyDescent="0.15">
      <c r="G429" s="16"/>
    </row>
    <row r="430" spans="4:7" ht="50.1" customHeight="1" x14ac:dyDescent="0.15">
      <c r="G430" s="16"/>
    </row>
    <row r="431" spans="4:7" ht="50.1" customHeight="1" x14ac:dyDescent="0.15">
      <c r="G431" s="16"/>
    </row>
    <row r="432" spans="4:7" ht="50.1" customHeight="1" x14ac:dyDescent="0.15">
      <c r="G432" s="16"/>
    </row>
    <row r="433" spans="4:7" ht="50.1" customHeight="1" x14ac:dyDescent="0.15">
      <c r="G433" s="16"/>
    </row>
    <row r="434" spans="4:7" ht="50.1" customHeight="1" x14ac:dyDescent="0.15">
      <c r="D434" s="5"/>
      <c r="E434" s="21"/>
      <c r="G434" s="16"/>
    </row>
    <row r="435" spans="4:7" ht="50.1" customHeight="1" x14ac:dyDescent="0.15">
      <c r="G435" s="16"/>
    </row>
    <row r="436" spans="4:7" ht="50.1" customHeight="1" x14ac:dyDescent="0.15">
      <c r="G436" s="16"/>
    </row>
    <row r="437" spans="4:7" ht="50.1" customHeight="1" x14ac:dyDescent="0.15">
      <c r="G437" s="16"/>
    </row>
    <row r="438" spans="4:7" ht="50.1" customHeight="1" x14ac:dyDescent="0.15">
      <c r="D438" s="5"/>
      <c r="E438" s="21"/>
      <c r="G438" s="16"/>
    </row>
    <row r="439" spans="4:7" ht="50.1" customHeight="1" x14ac:dyDescent="0.15">
      <c r="G439" s="16"/>
    </row>
    <row r="440" spans="4:7" ht="50.1" customHeight="1" x14ac:dyDescent="0.15">
      <c r="G440" s="16"/>
    </row>
    <row r="441" spans="4:7" ht="50.1" customHeight="1" x14ac:dyDescent="0.15">
      <c r="G441" s="16"/>
    </row>
    <row r="442" spans="4:7" ht="50.1" customHeight="1" x14ac:dyDescent="0.15">
      <c r="G442" s="16"/>
    </row>
    <row r="443" spans="4:7" ht="50.1" customHeight="1" x14ac:dyDescent="0.15">
      <c r="G443" s="16"/>
    </row>
    <row r="444" spans="4:7" ht="50.1" customHeight="1" x14ac:dyDescent="0.15">
      <c r="G444" s="16"/>
    </row>
    <row r="445" spans="4:7" ht="50.1" customHeight="1" x14ac:dyDescent="0.15">
      <c r="G445" s="16"/>
    </row>
    <row r="446" spans="4:7" ht="50.1" customHeight="1" x14ac:dyDescent="0.15">
      <c r="G446" s="16"/>
    </row>
    <row r="447" spans="4:7" ht="50.1" customHeight="1" x14ac:dyDescent="0.15">
      <c r="G447" s="16"/>
    </row>
    <row r="448" spans="4:7" ht="50.1" customHeight="1" x14ac:dyDescent="0.15">
      <c r="G448" s="16"/>
    </row>
    <row r="449" spans="7:7" ht="50.1" customHeight="1" x14ac:dyDescent="0.15">
      <c r="G449" s="16"/>
    </row>
    <row r="450" spans="7:7" ht="50.1" customHeight="1" x14ac:dyDescent="0.15">
      <c r="G450" s="16"/>
    </row>
    <row r="451" spans="7:7" ht="50.1" customHeight="1" x14ac:dyDescent="0.15">
      <c r="G451" s="16"/>
    </row>
    <row r="452" spans="7:7" ht="50.1" customHeight="1" x14ac:dyDescent="0.15">
      <c r="G452" s="16"/>
    </row>
    <row r="453" spans="7:7" ht="50.1" customHeight="1" x14ac:dyDescent="0.15">
      <c r="G453" s="16"/>
    </row>
    <row r="454" spans="7:7" ht="50.1" customHeight="1" x14ac:dyDescent="0.15">
      <c r="G454" s="16"/>
    </row>
    <row r="455" spans="7:7" ht="50.1" customHeight="1" x14ac:dyDescent="0.15">
      <c r="G455" s="16"/>
    </row>
    <row r="456" spans="7:7" ht="50.1" customHeight="1" x14ac:dyDescent="0.15">
      <c r="G456" s="16"/>
    </row>
    <row r="457" spans="7:7" ht="50.1" customHeight="1" x14ac:dyDescent="0.15">
      <c r="G457" s="16"/>
    </row>
    <row r="458" spans="7:7" ht="50.1" customHeight="1" x14ac:dyDescent="0.15">
      <c r="G458" s="16"/>
    </row>
    <row r="459" spans="7:7" ht="50.1" customHeight="1" x14ac:dyDescent="0.15">
      <c r="G459" s="16"/>
    </row>
    <row r="460" spans="7:7" ht="50.1" customHeight="1" x14ac:dyDescent="0.15">
      <c r="G460" s="16"/>
    </row>
    <row r="461" spans="7:7" ht="50.1" customHeight="1" x14ac:dyDescent="0.15">
      <c r="G461" s="16"/>
    </row>
    <row r="462" spans="7:7" ht="50.1" customHeight="1" x14ac:dyDescent="0.15">
      <c r="G462" s="16"/>
    </row>
    <row r="463" spans="7:7" ht="50.1" customHeight="1" x14ac:dyDescent="0.15">
      <c r="G463" s="16"/>
    </row>
    <row r="464" spans="7:7" ht="50.1" customHeight="1" x14ac:dyDescent="0.15">
      <c r="G464" s="16"/>
    </row>
    <row r="465" spans="4:7" ht="50.1" customHeight="1" x14ac:dyDescent="0.15">
      <c r="G465" s="16"/>
    </row>
    <row r="466" spans="4:7" ht="50.1" customHeight="1" x14ac:dyDescent="0.15">
      <c r="G466" s="16"/>
    </row>
    <row r="467" spans="4:7" ht="50.1" customHeight="1" x14ac:dyDescent="0.15">
      <c r="G467" s="16"/>
    </row>
    <row r="468" spans="4:7" ht="50.1" customHeight="1" x14ac:dyDescent="0.15">
      <c r="G468" s="16"/>
    </row>
    <row r="469" spans="4:7" ht="50.1" customHeight="1" x14ac:dyDescent="0.15">
      <c r="G469" s="16"/>
    </row>
    <row r="470" spans="4:7" ht="50.1" customHeight="1" x14ac:dyDescent="0.15">
      <c r="G470" s="16"/>
    </row>
    <row r="471" spans="4:7" ht="50.1" customHeight="1" x14ac:dyDescent="0.15">
      <c r="G471" s="16"/>
    </row>
    <row r="472" spans="4:7" ht="50.1" customHeight="1" x14ac:dyDescent="0.15">
      <c r="G472" s="16"/>
    </row>
    <row r="473" spans="4:7" ht="50.1" customHeight="1" x14ac:dyDescent="0.15">
      <c r="G473" s="16"/>
    </row>
    <row r="474" spans="4:7" ht="50.1" customHeight="1" x14ac:dyDescent="0.15">
      <c r="G474" s="16"/>
    </row>
    <row r="475" spans="4:7" ht="50.1" customHeight="1" x14ac:dyDescent="0.15">
      <c r="D475" s="5"/>
      <c r="E475" s="21"/>
      <c r="G475" s="16"/>
    </row>
    <row r="476" spans="4:7" ht="50.1" customHeight="1" x14ac:dyDescent="0.15">
      <c r="D476" s="5"/>
      <c r="E476" s="21"/>
      <c r="G476" s="16"/>
    </row>
    <row r="477" spans="4:7" ht="50.1" customHeight="1" x14ac:dyDescent="0.15">
      <c r="G477" s="16"/>
    </row>
    <row r="478" spans="4:7" ht="50.1" customHeight="1" x14ac:dyDescent="0.15">
      <c r="G478" s="16"/>
    </row>
    <row r="479" spans="4:7" ht="50.1" customHeight="1" x14ac:dyDescent="0.15">
      <c r="G479" s="16"/>
    </row>
    <row r="480" spans="4:7" ht="50.1" customHeight="1" x14ac:dyDescent="0.15">
      <c r="D480" s="5"/>
      <c r="E480" s="21"/>
      <c r="G480" s="16"/>
    </row>
    <row r="481" spans="4:7" ht="50.1" customHeight="1" x14ac:dyDescent="0.15">
      <c r="G481" s="16"/>
    </row>
    <row r="482" spans="4:7" ht="50.1" customHeight="1" x14ac:dyDescent="0.15">
      <c r="G482" s="16"/>
    </row>
    <row r="483" spans="4:7" ht="50.1" customHeight="1" x14ac:dyDescent="0.15">
      <c r="G483" s="16"/>
    </row>
    <row r="484" spans="4:7" ht="50.1" customHeight="1" x14ac:dyDescent="0.15">
      <c r="G484" s="16"/>
    </row>
    <row r="485" spans="4:7" ht="50.1" customHeight="1" x14ac:dyDescent="0.15">
      <c r="G485" s="16"/>
    </row>
    <row r="486" spans="4:7" ht="50.1" customHeight="1" x14ac:dyDescent="0.15">
      <c r="G486" s="16"/>
    </row>
    <row r="487" spans="4:7" ht="50.1" customHeight="1" x14ac:dyDescent="0.15">
      <c r="G487" s="16"/>
    </row>
    <row r="488" spans="4:7" ht="50.1" customHeight="1" x14ac:dyDescent="0.15">
      <c r="G488" s="16"/>
    </row>
    <row r="489" spans="4:7" ht="50.1" customHeight="1" x14ac:dyDescent="0.15">
      <c r="G489" s="16"/>
    </row>
    <row r="490" spans="4:7" ht="50.1" customHeight="1" x14ac:dyDescent="0.15">
      <c r="G490" s="16"/>
    </row>
    <row r="491" spans="4:7" ht="50.1" customHeight="1" x14ac:dyDescent="0.15">
      <c r="G491" s="16"/>
    </row>
    <row r="492" spans="4:7" ht="50.1" customHeight="1" x14ac:dyDescent="0.15">
      <c r="G492" s="16"/>
    </row>
    <row r="493" spans="4:7" ht="50.1" customHeight="1" x14ac:dyDescent="0.15">
      <c r="G493" s="16"/>
    </row>
    <row r="494" spans="4:7" ht="50.1" customHeight="1" x14ac:dyDescent="0.15">
      <c r="D494" s="5"/>
      <c r="E494" s="21"/>
      <c r="G494" s="16"/>
    </row>
    <row r="495" spans="4:7" ht="50.1" customHeight="1" x14ac:dyDescent="0.15">
      <c r="G495" s="16"/>
    </row>
    <row r="496" spans="4:7" ht="50.1" customHeight="1" x14ac:dyDescent="0.15">
      <c r="G496" s="16"/>
    </row>
    <row r="497" spans="4:7" ht="50.1" customHeight="1" x14ac:dyDescent="0.15">
      <c r="G497" s="16"/>
    </row>
    <row r="498" spans="4:7" ht="50.1" customHeight="1" x14ac:dyDescent="0.15">
      <c r="G498" s="16"/>
    </row>
    <row r="499" spans="4:7" ht="50.1" customHeight="1" x14ac:dyDescent="0.15">
      <c r="G499" s="16"/>
    </row>
    <row r="500" spans="4:7" ht="49.5" customHeight="1" x14ac:dyDescent="0.15">
      <c r="D500" s="5"/>
      <c r="E500" s="21"/>
      <c r="G500" s="16"/>
    </row>
  </sheetData>
  <phoneticPr fontId="1" type="noConversion"/>
  <pageMargins left="0.75" right="0.75" top="1" bottom="1" header="0.51111111111111107" footer="0.51111111111111107"/>
  <pageSetup paperSize="9" firstPageNumber="4294963191"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FF9D5E-5FE9-483E-8403-1F98CB0D39B0}">
  <sheetPr codeName="Sheet2"/>
  <dimension ref="A1:G500"/>
  <sheetViews>
    <sheetView zoomScale="85" zoomScaleNormal="85" zoomScaleSheetLayoutView="100" workbookViewId="0">
      <selection activeCell="F7" sqref="F7"/>
    </sheetView>
  </sheetViews>
  <sheetFormatPr defaultColWidth="10.625" defaultRowHeight="50.1" customHeight="1" x14ac:dyDescent="0.15"/>
  <cols>
    <col min="1" max="2" width="10.625" style="23"/>
    <col min="3" max="3" width="10.625" style="1"/>
    <col min="4" max="4" width="30.625" style="15" customWidth="1"/>
    <col min="5" max="5" width="30.625" style="11" customWidth="1"/>
    <col min="6" max="6" width="50.625" style="52" customWidth="1"/>
    <col min="7" max="7" width="200.625" style="14" customWidth="1"/>
    <col min="8" max="16384" width="10.625" style="1"/>
  </cols>
  <sheetData>
    <row r="1" spans="1:7" ht="50.1" customHeight="1" x14ac:dyDescent="0.15">
      <c r="A1" s="23" t="s">
        <v>0</v>
      </c>
      <c r="B1" s="23">
        <f>colorfunction(C1,D1:D500,FALSE)</f>
        <v>0</v>
      </c>
      <c r="C1" s="10"/>
      <c r="G1" s="16"/>
    </row>
    <row r="2" spans="1:7" ht="50.1" customHeight="1" x14ac:dyDescent="0.15">
      <c r="A2" s="23" t="s">
        <v>1</v>
      </c>
      <c r="B2" s="23">
        <f>colorfunction(C2,D1:D500,FALSE)</f>
        <v>0</v>
      </c>
      <c r="C2" s="12"/>
      <c r="G2" s="16"/>
    </row>
    <row r="3" spans="1:7" ht="50.1" customHeight="1" x14ac:dyDescent="0.15">
      <c r="A3" s="23" t="s">
        <v>2</v>
      </c>
      <c r="B3" s="23">
        <f>colorfunction(C3,D1:D500,FALSE)</f>
        <v>0</v>
      </c>
      <c r="C3" s="13"/>
      <c r="G3" s="16"/>
    </row>
    <row r="4" spans="1:7" ht="50.1" customHeight="1" x14ac:dyDescent="0.15">
      <c r="A4" s="23" t="s">
        <v>3</v>
      </c>
      <c r="B4" s="24" t="e">
        <f>B1/(B1+B2+B3)</f>
        <v>#DIV/0!</v>
      </c>
      <c r="G4" s="16"/>
    </row>
    <row r="5" spans="1:7" ht="50.1" customHeight="1" x14ac:dyDescent="0.15">
      <c r="A5" s="23" t="s">
        <v>4</v>
      </c>
      <c r="B5" s="24" t="e">
        <f>(B1 + B2) / (B1+B2+B3)</f>
        <v>#DIV/0!</v>
      </c>
      <c r="G5" s="16"/>
    </row>
    <row r="6" spans="1:7" ht="50.1" customHeight="1" x14ac:dyDescent="0.15">
      <c r="A6" s="23" t="s">
        <v>5</v>
      </c>
      <c r="B6" s="23">
        <f xml:space="preserve"> B1 + B2 +B3</f>
        <v>0</v>
      </c>
      <c r="G6" s="16"/>
    </row>
    <row r="7" spans="1:7" ht="50.1" customHeight="1" x14ac:dyDescent="0.15">
      <c r="A7" s="23" t="s">
        <v>6</v>
      </c>
      <c r="B7" s="23">
        <f>COUNTA(D1:D500)</f>
        <v>0</v>
      </c>
      <c r="G7" s="16"/>
    </row>
    <row r="8" spans="1:7" ht="50.1" customHeight="1" x14ac:dyDescent="0.15">
      <c r="A8" s="23" t="s">
        <v>7</v>
      </c>
      <c r="B8" s="25" t="e">
        <f>B6 / B7</f>
        <v>#DIV/0!</v>
      </c>
      <c r="G8" s="16"/>
    </row>
    <row r="9" spans="1:7" ht="50.1" customHeight="1" x14ac:dyDescent="0.15">
      <c r="G9" s="16"/>
    </row>
    <row r="10" spans="1:7" ht="50.1" customHeight="1" x14ac:dyDescent="0.15">
      <c r="G10" s="16"/>
    </row>
    <row r="11" spans="1:7" ht="50.1" customHeight="1" x14ac:dyDescent="0.15">
      <c r="D11" s="5"/>
      <c r="E11" s="21"/>
      <c r="G11" s="16"/>
    </row>
    <row r="12" spans="1:7" ht="50.1" customHeight="1" x14ac:dyDescent="0.15">
      <c r="G12" s="16"/>
    </row>
    <row r="13" spans="1:7" ht="50.1" customHeight="1" x14ac:dyDescent="0.15">
      <c r="G13" s="16"/>
    </row>
    <row r="14" spans="1:7" ht="50.1" customHeight="1" x14ac:dyDescent="0.15">
      <c r="G14" s="16"/>
    </row>
    <row r="15" spans="1:7" ht="50.1" customHeight="1" x14ac:dyDescent="0.15">
      <c r="G15" s="16"/>
    </row>
    <row r="16" spans="1:7" ht="50.1" customHeight="1" x14ac:dyDescent="0.15">
      <c r="G16" s="16"/>
    </row>
    <row r="17" spans="4:7" ht="50.1" customHeight="1" x14ac:dyDescent="0.15">
      <c r="G17" s="16"/>
    </row>
    <row r="18" spans="4:7" ht="50.1" customHeight="1" x14ac:dyDescent="0.15">
      <c r="G18" s="16"/>
    </row>
    <row r="19" spans="4:7" ht="50.1" customHeight="1" x14ac:dyDescent="0.15">
      <c r="G19" s="16"/>
    </row>
    <row r="20" spans="4:7" ht="50.1" customHeight="1" x14ac:dyDescent="0.15">
      <c r="G20" s="16"/>
    </row>
    <row r="21" spans="4:7" ht="50.1" customHeight="1" x14ac:dyDescent="0.15">
      <c r="G21" s="16"/>
    </row>
    <row r="22" spans="4:7" ht="50.1" customHeight="1" x14ac:dyDescent="0.15">
      <c r="G22" s="16"/>
    </row>
    <row r="23" spans="4:7" ht="50.1" customHeight="1" x14ac:dyDescent="0.15">
      <c r="G23" s="16"/>
    </row>
    <row r="24" spans="4:7" ht="50.1" customHeight="1" x14ac:dyDescent="0.15">
      <c r="G24" s="16"/>
    </row>
    <row r="25" spans="4:7" ht="50.1" customHeight="1" x14ac:dyDescent="0.15">
      <c r="G25" s="16"/>
    </row>
    <row r="26" spans="4:7" ht="50.1" customHeight="1" x14ac:dyDescent="0.15">
      <c r="G26" s="16"/>
    </row>
    <row r="27" spans="4:7" ht="50.1" customHeight="1" x14ac:dyDescent="0.15">
      <c r="G27" s="16"/>
    </row>
    <row r="28" spans="4:7" ht="50.1" customHeight="1" x14ac:dyDescent="0.15">
      <c r="G28" s="16"/>
    </row>
    <row r="29" spans="4:7" ht="50.1" customHeight="1" x14ac:dyDescent="0.15">
      <c r="D29" s="5"/>
      <c r="E29" s="21"/>
      <c r="G29" s="16"/>
    </row>
    <row r="30" spans="4:7" ht="50.1" customHeight="1" x14ac:dyDescent="0.15">
      <c r="G30" s="16"/>
    </row>
    <row r="31" spans="4:7" ht="50.1" customHeight="1" x14ac:dyDescent="0.15">
      <c r="G31" s="16"/>
    </row>
    <row r="32" spans="4:7" ht="50.1" customHeight="1" x14ac:dyDescent="0.15">
      <c r="G32" s="22"/>
    </row>
    <row r="33" spans="4:7" ht="50.1" customHeight="1" x14ac:dyDescent="0.15">
      <c r="G33" s="16"/>
    </row>
    <row r="34" spans="4:7" ht="50.1" customHeight="1" x14ac:dyDescent="0.15">
      <c r="G34" s="16"/>
    </row>
    <row r="35" spans="4:7" ht="50.1" customHeight="1" x14ac:dyDescent="0.15">
      <c r="G35" s="16"/>
    </row>
    <row r="36" spans="4:7" ht="50.1" customHeight="1" x14ac:dyDescent="0.15">
      <c r="G36" s="16"/>
    </row>
    <row r="37" spans="4:7" ht="50.1" customHeight="1" x14ac:dyDescent="0.15">
      <c r="G37" s="16"/>
    </row>
    <row r="38" spans="4:7" ht="50.1" customHeight="1" x14ac:dyDescent="0.15">
      <c r="G38" s="16"/>
    </row>
    <row r="39" spans="4:7" ht="50.1" customHeight="1" x14ac:dyDescent="0.15">
      <c r="G39" s="16"/>
    </row>
    <row r="40" spans="4:7" ht="50.1" customHeight="1" x14ac:dyDescent="0.15">
      <c r="G40" s="16"/>
    </row>
    <row r="41" spans="4:7" ht="50.1" customHeight="1" x14ac:dyDescent="0.15">
      <c r="G41" s="16"/>
    </row>
    <row r="42" spans="4:7" ht="50.1" customHeight="1" x14ac:dyDescent="0.15">
      <c r="G42" s="16"/>
    </row>
    <row r="43" spans="4:7" ht="50.1" customHeight="1" x14ac:dyDescent="0.15">
      <c r="G43" s="16"/>
    </row>
    <row r="44" spans="4:7" ht="50.1" customHeight="1" x14ac:dyDescent="0.15">
      <c r="D44" s="5"/>
      <c r="E44" s="21"/>
      <c r="G44" s="16"/>
    </row>
    <row r="45" spans="4:7" ht="50.1" customHeight="1" x14ac:dyDescent="0.15">
      <c r="D45" s="5"/>
      <c r="E45" s="21"/>
      <c r="G45" s="16"/>
    </row>
    <row r="46" spans="4:7" ht="50.1" customHeight="1" x14ac:dyDescent="0.15">
      <c r="G46" s="16"/>
    </row>
    <row r="47" spans="4:7" ht="50.1" customHeight="1" x14ac:dyDescent="0.15">
      <c r="G47" s="16"/>
    </row>
    <row r="48" spans="4:7" ht="50.1" customHeight="1" x14ac:dyDescent="0.15">
      <c r="G48" s="16"/>
    </row>
    <row r="49" spans="4:7" ht="50.1" customHeight="1" x14ac:dyDescent="0.15">
      <c r="D49" s="5"/>
      <c r="E49" s="21"/>
      <c r="G49" s="16"/>
    </row>
    <row r="50" spans="4:7" ht="50.1" customHeight="1" x14ac:dyDescent="0.15">
      <c r="G50" s="16"/>
    </row>
    <row r="51" spans="4:7" ht="50.1" customHeight="1" x14ac:dyDescent="0.15">
      <c r="G51" s="16"/>
    </row>
    <row r="52" spans="4:7" ht="50.1" customHeight="1" x14ac:dyDescent="0.15">
      <c r="G52" s="16"/>
    </row>
    <row r="53" spans="4:7" ht="50.1" customHeight="1" x14ac:dyDescent="0.15">
      <c r="D53" s="5"/>
      <c r="E53" s="21"/>
      <c r="G53" s="16"/>
    </row>
    <row r="54" spans="4:7" ht="50.1" customHeight="1" x14ac:dyDescent="0.15">
      <c r="G54" s="16"/>
    </row>
    <row r="55" spans="4:7" ht="50.1" customHeight="1" x14ac:dyDescent="0.15">
      <c r="G55" s="16"/>
    </row>
    <row r="56" spans="4:7" ht="50.1" customHeight="1" x14ac:dyDescent="0.15">
      <c r="D56" s="5"/>
      <c r="E56" s="21"/>
      <c r="G56" s="16"/>
    </row>
    <row r="57" spans="4:7" ht="50.1" customHeight="1" x14ac:dyDescent="0.15">
      <c r="G57" s="16"/>
    </row>
    <row r="58" spans="4:7" ht="50.1" customHeight="1" x14ac:dyDescent="0.15">
      <c r="G58" s="16"/>
    </row>
    <row r="59" spans="4:7" ht="50.1" customHeight="1" x14ac:dyDescent="0.15">
      <c r="G59" s="16"/>
    </row>
    <row r="60" spans="4:7" ht="50.1" customHeight="1" x14ac:dyDescent="0.15">
      <c r="G60" s="16"/>
    </row>
    <row r="61" spans="4:7" ht="50.1" customHeight="1" x14ac:dyDescent="0.15">
      <c r="G61" s="16"/>
    </row>
    <row r="62" spans="4:7" ht="50.1" customHeight="1" x14ac:dyDescent="0.15">
      <c r="G62" s="16"/>
    </row>
    <row r="63" spans="4:7" ht="50.1" customHeight="1" x14ac:dyDescent="0.15">
      <c r="D63" s="5"/>
      <c r="E63" s="21"/>
      <c r="G63" s="16"/>
    </row>
    <row r="64" spans="4:7" ht="50.1" customHeight="1" x14ac:dyDescent="0.15">
      <c r="G64" s="16"/>
    </row>
    <row r="65" spans="4:7" ht="50.1" customHeight="1" x14ac:dyDescent="0.15">
      <c r="D65" s="5"/>
      <c r="E65" s="21"/>
      <c r="G65" s="16"/>
    </row>
    <row r="66" spans="4:7" ht="50.1" customHeight="1" x14ac:dyDescent="0.15">
      <c r="G66" s="16"/>
    </row>
    <row r="67" spans="4:7" ht="50.1" customHeight="1" x14ac:dyDescent="0.15">
      <c r="D67" s="5"/>
      <c r="E67" s="21"/>
      <c r="G67" s="16"/>
    </row>
    <row r="68" spans="4:7" ht="50.1" customHeight="1" x14ac:dyDescent="0.15">
      <c r="G68" s="16"/>
    </row>
    <row r="69" spans="4:7" ht="50.1" customHeight="1" x14ac:dyDescent="0.15">
      <c r="G69" s="16"/>
    </row>
    <row r="70" spans="4:7" ht="50.1" customHeight="1" x14ac:dyDescent="0.15">
      <c r="G70" s="16"/>
    </row>
    <row r="71" spans="4:7" ht="50.1" customHeight="1" x14ac:dyDescent="0.15">
      <c r="G71" s="16"/>
    </row>
    <row r="72" spans="4:7" ht="50.1" customHeight="1" x14ac:dyDescent="0.15">
      <c r="G72" s="16"/>
    </row>
    <row r="73" spans="4:7" ht="50.1" customHeight="1" x14ac:dyDescent="0.15">
      <c r="D73" s="5"/>
      <c r="E73" s="21"/>
      <c r="G73" s="16"/>
    </row>
    <row r="74" spans="4:7" ht="50.1" customHeight="1" x14ac:dyDescent="0.15">
      <c r="G74" s="16"/>
    </row>
    <row r="75" spans="4:7" ht="50.1" customHeight="1" x14ac:dyDescent="0.15">
      <c r="G75" s="16"/>
    </row>
    <row r="76" spans="4:7" ht="50.1" customHeight="1" x14ac:dyDescent="0.15">
      <c r="G76" s="16"/>
    </row>
    <row r="77" spans="4:7" ht="50.1" customHeight="1" x14ac:dyDescent="0.15">
      <c r="G77" s="16"/>
    </row>
    <row r="78" spans="4:7" ht="50.1" customHeight="1" x14ac:dyDescent="0.15">
      <c r="G78" s="16"/>
    </row>
    <row r="79" spans="4:7" ht="50.1" customHeight="1" x14ac:dyDescent="0.15">
      <c r="D79" s="5"/>
      <c r="E79" s="21"/>
      <c r="G79" s="16"/>
    </row>
    <row r="80" spans="4:7" ht="50.1" customHeight="1" x14ac:dyDescent="0.15">
      <c r="D80" s="5"/>
      <c r="E80" s="21"/>
      <c r="G80" s="16"/>
    </row>
    <row r="81" spans="4:7" ht="50.1" customHeight="1" x14ac:dyDescent="0.15">
      <c r="D81" s="5"/>
      <c r="E81" s="21"/>
      <c r="G81" s="16"/>
    </row>
    <row r="82" spans="4:7" ht="50.1" customHeight="1" x14ac:dyDescent="0.15">
      <c r="G82" s="16"/>
    </row>
    <row r="83" spans="4:7" ht="50.1" customHeight="1" x14ac:dyDescent="0.15">
      <c r="G83" s="16"/>
    </row>
    <row r="84" spans="4:7" ht="50.1" customHeight="1" x14ac:dyDescent="0.15">
      <c r="G84" s="16"/>
    </row>
    <row r="85" spans="4:7" ht="50.1" customHeight="1" x14ac:dyDescent="0.15">
      <c r="G85" s="16"/>
    </row>
    <row r="86" spans="4:7" ht="50.1" customHeight="1" x14ac:dyDescent="0.15">
      <c r="G86" s="16"/>
    </row>
    <row r="87" spans="4:7" ht="50.1" customHeight="1" x14ac:dyDescent="0.15">
      <c r="G87" s="16"/>
    </row>
    <row r="88" spans="4:7" ht="50.1" customHeight="1" x14ac:dyDescent="0.15">
      <c r="G88" s="16"/>
    </row>
    <row r="89" spans="4:7" ht="50.1" customHeight="1" x14ac:dyDescent="0.15">
      <c r="G89" s="16"/>
    </row>
    <row r="90" spans="4:7" ht="50.1" customHeight="1" x14ac:dyDescent="0.15">
      <c r="G90" s="16"/>
    </row>
    <row r="91" spans="4:7" ht="50.1" customHeight="1" x14ac:dyDescent="0.15">
      <c r="G91" s="16"/>
    </row>
    <row r="92" spans="4:7" ht="50.1" customHeight="1" x14ac:dyDescent="0.15">
      <c r="G92" s="16"/>
    </row>
    <row r="93" spans="4:7" ht="50.1" customHeight="1" x14ac:dyDescent="0.15">
      <c r="G93" s="16"/>
    </row>
    <row r="94" spans="4:7" ht="50.1" customHeight="1" x14ac:dyDescent="0.15">
      <c r="G94" s="16"/>
    </row>
    <row r="95" spans="4:7" ht="50.1" customHeight="1" x14ac:dyDescent="0.15">
      <c r="G95" s="16"/>
    </row>
    <row r="96" spans="4:7" ht="50.1" customHeight="1" x14ac:dyDescent="0.15">
      <c r="G96" s="16"/>
    </row>
    <row r="97" spans="4:7" ht="50.1" customHeight="1" x14ac:dyDescent="0.15">
      <c r="G97" s="16"/>
    </row>
    <row r="98" spans="4:7" ht="50.1" customHeight="1" x14ac:dyDescent="0.15">
      <c r="G98" s="16"/>
    </row>
    <row r="99" spans="4:7" ht="50.1" customHeight="1" x14ac:dyDescent="0.15">
      <c r="G99" s="16"/>
    </row>
    <row r="100" spans="4:7" ht="50.1" customHeight="1" x14ac:dyDescent="0.15">
      <c r="G100" s="16"/>
    </row>
    <row r="101" spans="4:7" ht="50.1" customHeight="1" x14ac:dyDescent="0.15">
      <c r="G101" s="16"/>
    </row>
    <row r="102" spans="4:7" ht="50.1" customHeight="1" x14ac:dyDescent="0.15">
      <c r="D102" s="5"/>
      <c r="E102" s="21"/>
      <c r="G102" s="16"/>
    </row>
    <row r="103" spans="4:7" ht="50.1" customHeight="1" x14ac:dyDescent="0.15">
      <c r="G103" s="16"/>
    </row>
    <row r="104" spans="4:7" ht="50.1" customHeight="1" x14ac:dyDescent="0.15">
      <c r="G104" s="16"/>
    </row>
    <row r="105" spans="4:7" ht="50.1" customHeight="1" x14ac:dyDescent="0.15">
      <c r="G105" s="16"/>
    </row>
    <row r="106" spans="4:7" ht="50.1" customHeight="1" x14ac:dyDescent="0.15">
      <c r="G106" s="16"/>
    </row>
    <row r="107" spans="4:7" ht="50.1" customHeight="1" x14ac:dyDescent="0.15">
      <c r="G107" s="16"/>
    </row>
    <row r="108" spans="4:7" ht="50.1" customHeight="1" x14ac:dyDescent="0.15">
      <c r="G108" s="16"/>
    </row>
    <row r="109" spans="4:7" ht="50.1" customHeight="1" x14ac:dyDescent="0.15">
      <c r="G109" s="16"/>
    </row>
    <row r="110" spans="4:7" ht="50.1" customHeight="1" x14ac:dyDescent="0.15">
      <c r="G110" s="16"/>
    </row>
    <row r="111" spans="4:7" ht="50.1" customHeight="1" x14ac:dyDescent="0.15">
      <c r="G111" s="16"/>
    </row>
    <row r="112" spans="4:7" ht="50.1" customHeight="1" x14ac:dyDescent="0.15">
      <c r="G112" s="16"/>
    </row>
    <row r="113" spans="4:7" ht="50.1" customHeight="1" x14ac:dyDescent="0.15">
      <c r="G113" s="16"/>
    </row>
    <row r="114" spans="4:7" ht="50.1" customHeight="1" x14ac:dyDescent="0.15">
      <c r="G114" s="16"/>
    </row>
    <row r="115" spans="4:7" ht="50.1" customHeight="1" x14ac:dyDescent="0.15">
      <c r="G115" s="16"/>
    </row>
    <row r="116" spans="4:7" ht="50.1" customHeight="1" x14ac:dyDescent="0.15">
      <c r="G116" s="16"/>
    </row>
    <row r="117" spans="4:7" ht="50.1" customHeight="1" x14ac:dyDescent="0.15">
      <c r="G117" s="16"/>
    </row>
    <row r="118" spans="4:7" ht="50.1" customHeight="1" x14ac:dyDescent="0.15">
      <c r="G118" s="16"/>
    </row>
    <row r="119" spans="4:7" ht="50.1" customHeight="1" x14ac:dyDescent="0.15">
      <c r="G119" s="16"/>
    </row>
    <row r="120" spans="4:7" ht="50.1" customHeight="1" x14ac:dyDescent="0.15">
      <c r="G120" s="16"/>
    </row>
    <row r="121" spans="4:7" ht="50.1" customHeight="1" x14ac:dyDescent="0.15">
      <c r="G121" s="16"/>
    </row>
    <row r="122" spans="4:7" ht="50.1" customHeight="1" x14ac:dyDescent="0.15">
      <c r="G122" s="16"/>
    </row>
    <row r="123" spans="4:7" ht="50.1" customHeight="1" x14ac:dyDescent="0.15">
      <c r="D123" s="5"/>
      <c r="E123" s="21"/>
      <c r="G123" s="16"/>
    </row>
    <row r="124" spans="4:7" ht="50.1" customHeight="1" x14ac:dyDescent="0.15">
      <c r="G124" s="16"/>
    </row>
    <row r="125" spans="4:7" ht="50.1" customHeight="1" x14ac:dyDescent="0.15">
      <c r="G125" s="16"/>
    </row>
    <row r="126" spans="4:7" ht="50.1" customHeight="1" x14ac:dyDescent="0.15">
      <c r="G126" s="16"/>
    </row>
    <row r="127" spans="4:7" ht="50.1" customHeight="1" x14ac:dyDescent="0.15">
      <c r="G127" s="16"/>
    </row>
    <row r="128" spans="4:7" ht="50.1" customHeight="1" x14ac:dyDescent="0.15">
      <c r="D128" s="5"/>
      <c r="E128" s="21"/>
      <c r="G128" s="16"/>
    </row>
    <row r="129" spans="4:7" ht="50.1" customHeight="1" x14ac:dyDescent="0.15">
      <c r="D129" s="5"/>
      <c r="E129" s="21"/>
      <c r="G129" s="16"/>
    </row>
    <row r="130" spans="4:7" ht="50.1" customHeight="1" x14ac:dyDescent="0.15">
      <c r="G130" s="16"/>
    </row>
    <row r="131" spans="4:7" ht="50.1" customHeight="1" x14ac:dyDescent="0.15">
      <c r="G131" s="16"/>
    </row>
    <row r="132" spans="4:7" ht="50.1" customHeight="1" x14ac:dyDescent="0.15">
      <c r="G132" s="16"/>
    </row>
    <row r="133" spans="4:7" ht="50.1" customHeight="1" x14ac:dyDescent="0.15">
      <c r="G133" s="16"/>
    </row>
    <row r="134" spans="4:7" ht="50.1" customHeight="1" x14ac:dyDescent="0.15">
      <c r="G134" s="16"/>
    </row>
    <row r="135" spans="4:7" ht="50.1" customHeight="1" x14ac:dyDescent="0.15">
      <c r="G135" s="16"/>
    </row>
    <row r="136" spans="4:7" ht="50.1" customHeight="1" x14ac:dyDescent="0.15">
      <c r="G136" s="16"/>
    </row>
    <row r="137" spans="4:7" ht="50.1" customHeight="1" x14ac:dyDescent="0.15">
      <c r="G137" s="16"/>
    </row>
    <row r="138" spans="4:7" ht="50.1" customHeight="1" x14ac:dyDescent="0.15">
      <c r="G138" s="16"/>
    </row>
    <row r="139" spans="4:7" ht="50.1" customHeight="1" x14ac:dyDescent="0.15">
      <c r="G139" s="16"/>
    </row>
    <row r="140" spans="4:7" ht="50.1" customHeight="1" x14ac:dyDescent="0.15">
      <c r="G140" s="16"/>
    </row>
    <row r="141" spans="4:7" ht="50.1" customHeight="1" x14ac:dyDescent="0.15">
      <c r="G141" s="16"/>
    </row>
    <row r="142" spans="4:7" ht="50.1" customHeight="1" x14ac:dyDescent="0.15">
      <c r="G142" s="16"/>
    </row>
    <row r="143" spans="4:7" ht="50.1" customHeight="1" x14ac:dyDescent="0.15">
      <c r="G143" s="16"/>
    </row>
    <row r="144" spans="4:7" ht="50.1" customHeight="1" x14ac:dyDescent="0.15">
      <c r="G144" s="16"/>
    </row>
    <row r="145" spans="4:7" ht="50.1" customHeight="1" x14ac:dyDescent="0.15">
      <c r="G145" s="16"/>
    </row>
    <row r="146" spans="4:7" ht="50.1" customHeight="1" x14ac:dyDescent="0.15">
      <c r="G146" s="16"/>
    </row>
    <row r="147" spans="4:7" ht="50.1" customHeight="1" x14ac:dyDescent="0.15">
      <c r="G147" s="16"/>
    </row>
    <row r="148" spans="4:7" ht="50.1" customHeight="1" x14ac:dyDescent="0.15">
      <c r="D148" s="5"/>
      <c r="E148" s="21"/>
      <c r="G148" s="16"/>
    </row>
    <row r="149" spans="4:7" ht="50.1" customHeight="1" x14ac:dyDescent="0.15">
      <c r="G149" s="16"/>
    </row>
    <row r="150" spans="4:7" ht="50.1" customHeight="1" x14ac:dyDescent="0.15">
      <c r="G150" s="16"/>
    </row>
    <row r="151" spans="4:7" ht="50.1" customHeight="1" x14ac:dyDescent="0.15">
      <c r="G151" s="16"/>
    </row>
    <row r="152" spans="4:7" ht="50.1" customHeight="1" x14ac:dyDescent="0.15">
      <c r="G152" s="16"/>
    </row>
    <row r="153" spans="4:7" ht="50.1" customHeight="1" x14ac:dyDescent="0.15">
      <c r="G153" s="16"/>
    </row>
    <row r="154" spans="4:7" ht="50.1" customHeight="1" x14ac:dyDescent="0.15">
      <c r="G154" s="16"/>
    </row>
    <row r="155" spans="4:7" ht="50.1" customHeight="1" x14ac:dyDescent="0.15">
      <c r="G155" s="16"/>
    </row>
    <row r="156" spans="4:7" ht="50.1" customHeight="1" x14ac:dyDescent="0.15">
      <c r="G156" s="16"/>
    </row>
    <row r="157" spans="4:7" ht="50.1" customHeight="1" x14ac:dyDescent="0.15">
      <c r="G157" s="16"/>
    </row>
    <row r="158" spans="4:7" ht="50.1" customHeight="1" x14ac:dyDescent="0.15">
      <c r="G158" s="16"/>
    </row>
    <row r="159" spans="4:7" ht="50.1" customHeight="1" x14ac:dyDescent="0.15">
      <c r="G159" s="16"/>
    </row>
    <row r="160" spans="4:7" ht="50.1" customHeight="1" x14ac:dyDescent="0.15">
      <c r="G160" s="16"/>
    </row>
    <row r="161" spans="4:7" ht="50.1" customHeight="1" x14ac:dyDescent="0.15">
      <c r="G161" s="16"/>
    </row>
    <row r="162" spans="4:7" ht="50.1" customHeight="1" x14ac:dyDescent="0.15">
      <c r="D162" s="5"/>
      <c r="E162" s="21"/>
      <c r="G162" s="16"/>
    </row>
    <row r="163" spans="4:7" ht="50.1" customHeight="1" x14ac:dyDescent="0.15">
      <c r="G163" s="16"/>
    </row>
    <row r="164" spans="4:7" ht="50.1" customHeight="1" x14ac:dyDescent="0.15">
      <c r="G164" s="16"/>
    </row>
    <row r="165" spans="4:7" ht="50.1" customHeight="1" x14ac:dyDescent="0.15">
      <c r="G165" s="16"/>
    </row>
    <row r="166" spans="4:7" ht="50.1" customHeight="1" x14ac:dyDescent="0.15">
      <c r="G166" s="16"/>
    </row>
    <row r="167" spans="4:7" ht="50.1" customHeight="1" x14ac:dyDescent="0.15">
      <c r="G167" s="22"/>
    </row>
    <row r="168" spans="4:7" ht="50.1" customHeight="1" x14ac:dyDescent="0.15">
      <c r="G168" s="22"/>
    </row>
    <row r="169" spans="4:7" ht="50.1" customHeight="1" x14ac:dyDescent="0.15">
      <c r="G169" s="16"/>
    </row>
    <row r="170" spans="4:7" ht="50.1" customHeight="1" x14ac:dyDescent="0.15">
      <c r="G170" s="16"/>
    </row>
    <row r="171" spans="4:7" ht="50.1" customHeight="1" x14ac:dyDescent="0.15">
      <c r="G171" s="16"/>
    </row>
    <row r="172" spans="4:7" ht="50.1" customHeight="1" x14ac:dyDescent="0.15">
      <c r="G172" s="16"/>
    </row>
    <row r="173" spans="4:7" ht="50.1" customHeight="1" x14ac:dyDescent="0.15">
      <c r="G173" s="16"/>
    </row>
    <row r="174" spans="4:7" ht="50.1" customHeight="1" x14ac:dyDescent="0.15">
      <c r="G174" s="16"/>
    </row>
    <row r="175" spans="4:7" ht="50.1" customHeight="1" x14ac:dyDescent="0.15">
      <c r="D175" s="5"/>
      <c r="E175" s="21"/>
      <c r="G175" s="16"/>
    </row>
    <row r="176" spans="4:7" ht="50.1" customHeight="1" x14ac:dyDescent="0.15">
      <c r="G176" s="16"/>
    </row>
    <row r="177" spans="4:7" ht="50.1" customHeight="1" x14ac:dyDescent="0.15">
      <c r="G177" s="16"/>
    </row>
    <row r="178" spans="4:7" ht="50.1" customHeight="1" x14ac:dyDescent="0.15">
      <c r="G178" s="16"/>
    </row>
    <row r="179" spans="4:7" ht="50.1" customHeight="1" x14ac:dyDescent="0.15">
      <c r="G179" s="16"/>
    </row>
    <row r="180" spans="4:7" ht="50.1" customHeight="1" x14ac:dyDescent="0.15">
      <c r="G180" s="16"/>
    </row>
    <row r="181" spans="4:7" ht="50.1" customHeight="1" x14ac:dyDescent="0.15">
      <c r="G181" s="16"/>
    </row>
    <row r="182" spans="4:7" ht="50.1" customHeight="1" x14ac:dyDescent="0.15">
      <c r="G182" s="16"/>
    </row>
    <row r="183" spans="4:7" ht="50.1" customHeight="1" x14ac:dyDescent="0.15">
      <c r="G183" s="16"/>
    </row>
    <row r="184" spans="4:7" ht="50.1" customHeight="1" x14ac:dyDescent="0.15">
      <c r="G184" s="16"/>
    </row>
    <row r="185" spans="4:7" ht="50.1" customHeight="1" x14ac:dyDescent="0.15">
      <c r="G185" s="16"/>
    </row>
    <row r="186" spans="4:7" ht="50.1" customHeight="1" x14ac:dyDescent="0.15">
      <c r="D186" s="5"/>
      <c r="E186" s="21"/>
      <c r="G186" s="16"/>
    </row>
    <row r="187" spans="4:7" ht="50.1" customHeight="1" x14ac:dyDescent="0.15">
      <c r="G187" s="16"/>
    </row>
    <row r="188" spans="4:7" ht="50.1" customHeight="1" x14ac:dyDescent="0.15">
      <c r="G188" s="16"/>
    </row>
    <row r="189" spans="4:7" ht="50.1" customHeight="1" x14ac:dyDescent="0.15">
      <c r="G189" s="16"/>
    </row>
    <row r="190" spans="4:7" ht="50.1" customHeight="1" x14ac:dyDescent="0.15">
      <c r="G190" s="16"/>
    </row>
    <row r="191" spans="4:7" ht="50.1" customHeight="1" x14ac:dyDescent="0.15">
      <c r="G191" s="16"/>
    </row>
    <row r="192" spans="4:7" ht="50.1" customHeight="1" x14ac:dyDescent="0.15">
      <c r="G192" s="16"/>
    </row>
    <row r="193" spans="7:7" ht="50.1" customHeight="1" x14ac:dyDescent="0.15">
      <c r="G193" s="16"/>
    </row>
    <row r="194" spans="7:7" ht="50.1" customHeight="1" x14ac:dyDescent="0.15">
      <c r="G194" s="16"/>
    </row>
    <row r="195" spans="7:7" ht="50.1" customHeight="1" x14ac:dyDescent="0.15">
      <c r="G195" s="16"/>
    </row>
    <row r="196" spans="7:7" ht="50.1" customHeight="1" x14ac:dyDescent="0.15">
      <c r="G196" s="16"/>
    </row>
    <row r="197" spans="7:7" ht="50.1" customHeight="1" x14ac:dyDescent="0.15">
      <c r="G197" s="16"/>
    </row>
    <row r="198" spans="7:7" ht="50.1" customHeight="1" x14ac:dyDescent="0.15">
      <c r="G198" s="16"/>
    </row>
    <row r="199" spans="7:7" ht="50.1" customHeight="1" x14ac:dyDescent="0.15">
      <c r="G199" s="22"/>
    </row>
    <row r="200" spans="7:7" ht="50.1" customHeight="1" x14ac:dyDescent="0.15">
      <c r="G200" s="22"/>
    </row>
    <row r="201" spans="7:7" ht="50.1" customHeight="1" x14ac:dyDescent="0.15">
      <c r="G201" s="16"/>
    </row>
    <row r="202" spans="7:7" ht="50.1" customHeight="1" x14ac:dyDescent="0.15">
      <c r="G202" s="16"/>
    </row>
    <row r="203" spans="7:7" ht="50.1" customHeight="1" x14ac:dyDescent="0.15">
      <c r="G203" s="16"/>
    </row>
    <row r="204" spans="7:7" ht="50.1" customHeight="1" x14ac:dyDescent="0.15">
      <c r="G204" s="16"/>
    </row>
    <row r="205" spans="7:7" ht="50.1" customHeight="1" x14ac:dyDescent="0.15">
      <c r="G205" s="16"/>
    </row>
    <row r="206" spans="7:7" ht="50.1" customHeight="1" x14ac:dyDescent="0.15">
      <c r="G206" s="16"/>
    </row>
    <row r="207" spans="7:7" ht="50.1" customHeight="1" x14ac:dyDescent="0.15">
      <c r="G207" s="16"/>
    </row>
    <row r="208" spans="7:7" ht="50.1" customHeight="1" x14ac:dyDescent="0.15">
      <c r="G208" s="16"/>
    </row>
    <row r="209" spans="7:7" ht="50.1" customHeight="1" x14ac:dyDescent="0.15">
      <c r="G209" s="22"/>
    </row>
    <row r="210" spans="7:7" ht="50.1" customHeight="1" x14ac:dyDescent="0.15">
      <c r="G210" s="16"/>
    </row>
    <row r="211" spans="7:7" ht="50.1" customHeight="1" x14ac:dyDescent="0.15">
      <c r="G211" s="16"/>
    </row>
    <row r="212" spans="7:7" ht="50.1" customHeight="1" x14ac:dyDescent="0.15">
      <c r="G212" s="16"/>
    </row>
    <row r="213" spans="7:7" ht="50.1" customHeight="1" x14ac:dyDescent="0.15">
      <c r="G213" s="16"/>
    </row>
    <row r="214" spans="7:7" ht="50.1" customHeight="1" x14ac:dyDescent="0.15">
      <c r="G214" s="16"/>
    </row>
    <row r="215" spans="7:7" ht="50.1" customHeight="1" x14ac:dyDescent="0.15">
      <c r="G215" s="16"/>
    </row>
    <row r="216" spans="7:7" ht="50.1" customHeight="1" x14ac:dyDescent="0.15">
      <c r="G216" s="16"/>
    </row>
    <row r="217" spans="7:7" ht="50.1" customHeight="1" x14ac:dyDescent="0.15">
      <c r="G217" s="16"/>
    </row>
    <row r="218" spans="7:7" ht="50.1" customHeight="1" x14ac:dyDescent="0.15">
      <c r="G218" s="16"/>
    </row>
    <row r="219" spans="7:7" ht="50.1" customHeight="1" x14ac:dyDescent="0.15">
      <c r="G219" s="16"/>
    </row>
    <row r="220" spans="7:7" ht="50.1" customHeight="1" x14ac:dyDescent="0.15">
      <c r="G220" s="16"/>
    </row>
    <row r="221" spans="7:7" ht="50.1" customHeight="1" x14ac:dyDescent="0.15">
      <c r="G221" s="16"/>
    </row>
    <row r="222" spans="7:7" ht="50.1" customHeight="1" x14ac:dyDescent="0.15">
      <c r="G222" s="16"/>
    </row>
    <row r="223" spans="7:7" ht="50.1" customHeight="1" x14ac:dyDescent="0.15">
      <c r="G223" s="16"/>
    </row>
    <row r="224" spans="7:7" ht="50.1" customHeight="1" x14ac:dyDescent="0.15">
      <c r="G224" s="16"/>
    </row>
    <row r="225" spans="7:7" ht="50.1" customHeight="1" x14ac:dyDescent="0.15">
      <c r="G225" s="16"/>
    </row>
    <row r="226" spans="7:7" ht="50.1" customHeight="1" x14ac:dyDescent="0.15">
      <c r="G226" s="16"/>
    </row>
    <row r="227" spans="7:7" ht="50.1" customHeight="1" x14ac:dyDescent="0.15">
      <c r="G227" s="16"/>
    </row>
    <row r="228" spans="7:7" ht="50.1" customHeight="1" x14ac:dyDescent="0.15">
      <c r="G228" s="16"/>
    </row>
    <row r="229" spans="7:7" ht="50.1" customHeight="1" x14ac:dyDescent="0.15">
      <c r="G229" s="16"/>
    </row>
    <row r="230" spans="7:7" ht="50.1" customHeight="1" x14ac:dyDescent="0.15">
      <c r="G230" s="16"/>
    </row>
    <row r="231" spans="7:7" ht="50.1" customHeight="1" x14ac:dyDescent="0.15">
      <c r="G231" s="16"/>
    </row>
    <row r="232" spans="7:7" ht="50.1" customHeight="1" x14ac:dyDescent="0.15">
      <c r="G232" s="16"/>
    </row>
    <row r="233" spans="7:7" ht="50.1" customHeight="1" x14ac:dyDescent="0.15">
      <c r="G233" s="16"/>
    </row>
    <row r="234" spans="7:7" ht="50.1" customHeight="1" x14ac:dyDescent="0.15">
      <c r="G234" s="16"/>
    </row>
    <row r="235" spans="7:7" ht="50.1" customHeight="1" x14ac:dyDescent="0.15">
      <c r="G235" s="16"/>
    </row>
    <row r="236" spans="7:7" ht="50.1" customHeight="1" x14ac:dyDescent="0.15">
      <c r="G236" s="16"/>
    </row>
    <row r="237" spans="7:7" ht="50.1" customHeight="1" x14ac:dyDescent="0.15">
      <c r="G237" s="16"/>
    </row>
    <row r="238" spans="7:7" ht="50.1" customHeight="1" x14ac:dyDescent="0.15">
      <c r="G238" s="16"/>
    </row>
    <row r="239" spans="7:7" ht="50.1" customHeight="1" x14ac:dyDescent="0.15">
      <c r="G239" s="16"/>
    </row>
    <row r="240" spans="7:7" ht="50.1" customHeight="1" x14ac:dyDescent="0.15">
      <c r="G240" s="16"/>
    </row>
    <row r="241" spans="4:7" ht="50.1" customHeight="1" x14ac:dyDescent="0.15">
      <c r="G241" s="16"/>
    </row>
    <row r="242" spans="4:7" ht="50.1" customHeight="1" x14ac:dyDescent="0.15">
      <c r="G242" s="22"/>
    </row>
    <row r="243" spans="4:7" ht="50.1" customHeight="1" x14ac:dyDescent="0.15">
      <c r="G243" s="16"/>
    </row>
    <row r="244" spans="4:7" ht="50.1" customHeight="1" x14ac:dyDescent="0.15">
      <c r="G244" s="16"/>
    </row>
    <row r="245" spans="4:7" ht="50.1" customHeight="1" x14ac:dyDescent="0.15">
      <c r="G245" s="16"/>
    </row>
    <row r="246" spans="4:7" ht="50.1" customHeight="1" x14ac:dyDescent="0.15">
      <c r="G246" s="16"/>
    </row>
    <row r="247" spans="4:7" ht="50.1" customHeight="1" x14ac:dyDescent="0.15">
      <c r="G247" s="16"/>
    </row>
    <row r="248" spans="4:7" ht="50.1" customHeight="1" x14ac:dyDescent="0.15">
      <c r="G248" s="16"/>
    </row>
    <row r="249" spans="4:7" ht="50.1" customHeight="1" x14ac:dyDescent="0.15">
      <c r="D249" s="5"/>
      <c r="E249" s="21"/>
      <c r="G249" s="16"/>
    </row>
    <row r="250" spans="4:7" ht="50.1" customHeight="1" x14ac:dyDescent="0.15">
      <c r="G250" s="16"/>
    </row>
    <row r="251" spans="4:7" ht="50.1" customHeight="1" x14ac:dyDescent="0.15">
      <c r="G251" s="16"/>
    </row>
    <row r="252" spans="4:7" ht="50.1" customHeight="1" x14ac:dyDescent="0.15">
      <c r="G252" s="16"/>
    </row>
    <row r="253" spans="4:7" ht="50.1" customHeight="1" x14ac:dyDescent="0.15">
      <c r="G253" s="16"/>
    </row>
    <row r="254" spans="4:7" ht="50.1" customHeight="1" x14ac:dyDescent="0.15">
      <c r="G254" s="16"/>
    </row>
    <row r="255" spans="4:7" ht="50.1" customHeight="1" x14ac:dyDescent="0.15">
      <c r="G255" s="16"/>
    </row>
    <row r="256" spans="4:7" ht="50.1" customHeight="1" x14ac:dyDescent="0.15">
      <c r="G256" s="16"/>
    </row>
    <row r="257" spans="4:7" ht="50.1" customHeight="1" x14ac:dyDescent="0.15">
      <c r="G257" s="16"/>
    </row>
    <row r="258" spans="4:7" ht="50.1" customHeight="1" x14ac:dyDescent="0.15">
      <c r="G258" s="16"/>
    </row>
    <row r="259" spans="4:7" ht="50.1" customHeight="1" x14ac:dyDescent="0.15">
      <c r="G259" s="16"/>
    </row>
    <row r="260" spans="4:7" ht="50.1" customHeight="1" x14ac:dyDescent="0.15">
      <c r="G260" s="22"/>
    </row>
    <row r="261" spans="4:7" ht="50.1" customHeight="1" x14ac:dyDescent="0.15">
      <c r="G261" s="22"/>
    </row>
    <row r="262" spans="4:7" ht="50.1" customHeight="1" x14ac:dyDescent="0.15">
      <c r="G262" s="16"/>
    </row>
    <row r="263" spans="4:7" ht="50.1" customHeight="1" x14ac:dyDescent="0.15">
      <c r="G263" s="16"/>
    </row>
    <row r="264" spans="4:7" ht="50.1" customHeight="1" x14ac:dyDescent="0.15">
      <c r="G264" s="16"/>
    </row>
    <row r="265" spans="4:7" ht="50.1" customHeight="1" x14ac:dyDescent="0.15">
      <c r="G265" s="16"/>
    </row>
    <row r="266" spans="4:7" ht="50.1" customHeight="1" x14ac:dyDescent="0.15">
      <c r="G266" s="16"/>
    </row>
    <row r="267" spans="4:7" ht="50.1" customHeight="1" x14ac:dyDescent="0.15">
      <c r="G267" s="16"/>
    </row>
    <row r="268" spans="4:7" ht="50.1" customHeight="1" x14ac:dyDescent="0.15">
      <c r="G268" s="16"/>
    </row>
    <row r="269" spans="4:7" ht="50.1" customHeight="1" x14ac:dyDescent="0.15">
      <c r="D269" s="5"/>
      <c r="E269" s="21"/>
      <c r="G269" s="16"/>
    </row>
    <row r="270" spans="4:7" ht="50.1" customHeight="1" x14ac:dyDescent="0.15">
      <c r="G270" s="16"/>
    </row>
    <row r="271" spans="4:7" ht="50.1" customHeight="1" x14ac:dyDescent="0.15">
      <c r="G271" s="16"/>
    </row>
    <row r="272" spans="4:7" ht="50.1" customHeight="1" x14ac:dyDescent="0.15">
      <c r="G272" s="16"/>
    </row>
    <row r="273" spans="7:7" ht="50.1" customHeight="1" x14ac:dyDescent="0.15">
      <c r="G273" s="16"/>
    </row>
    <row r="274" spans="7:7" ht="50.1" customHeight="1" x14ac:dyDescent="0.15">
      <c r="G274" s="16"/>
    </row>
    <row r="275" spans="7:7" ht="50.1" customHeight="1" x14ac:dyDescent="0.15">
      <c r="G275" s="16"/>
    </row>
    <row r="276" spans="7:7" ht="50.1" customHeight="1" x14ac:dyDescent="0.15">
      <c r="G276" s="16"/>
    </row>
    <row r="277" spans="7:7" ht="50.1" customHeight="1" x14ac:dyDescent="0.15">
      <c r="G277" s="16"/>
    </row>
    <row r="278" spans="7:7" ht="50.1" customHeight="1" x14ac:dyDescent="0.15">
      <c r="G278" s="16"/>
    </row>
    <row r="279" spans="7:7" ht="50.1" customHeight="1" x14ac:dyDescent="0.15">
      <c r="G279" s="16"/>
    </row>
    <row r="280" spans="7:7" ht="50.1" customHeight="1" x14ac:dyDescent="0.15">
      <c r="G280" s="16"/>
    </row>
    <row r="281" spans="7:7" ht="50.1" customHeight="1" x14ac:dyDescent="0.15">
      <c r="G281" s="16"/>
    </row>
    <row r="282" spans="7:7" ht="50.1" customHeight="1" x14ac:dyDescent="0.15">
      <c r="G282" s="16"/>
    </row>
    <row r="283" spans="7:7" ht="50.1" customHeight="1" x14ac:dyDescent="0.15">
      <c r="G283" s="16"/>
    </row>
    <row r="284" spans="7:7" ht="50.1" customHeight="1" x14ac:dyDescent="0.15">
      <c r="G284" s="16"/>
    </row>
    <row r="285" spans="7:7" ht="50.1" customHeight="1" x14ac:dyDescent="0.15">
      <c r="G285" s="16"/>
    </row>
    <row r="286" spans="7:7" ht="50.1" customHeight="1" x14ac:dyDescent="0.15">
      <c r="G286" s="16"/>
    </row>
    <row r="287" spans="7:7" ht="50.1" customHeight="1" x14ac:dyDescent="0.15">
      <c r="G287" s="16"/>
    </row>
    <row r="288" spans="7:7" ht="50.1" customHeight="1" x14ac:dyDescent="0.15">
      <c r="G288" s="16"/>
    </row>
    <row r="289" spans="4:7" ht="50.1" customHeight="1" x14ac:dyDescent="0.15">
      <c r="G289" s="16"/>
    </row>
    <row r="290" spans="4:7" ht="50.1" customHeight="1" x14ac:dyDescent="0.15">
      <c r="G290" s="16"/>
    </row>
    <row r="291" spans="4:7" ht="50.1" customHeight="1" x14ac:dyDescent="0.15">
      <c r="G291" s="16"/>
    </row>
    <row r="292" spans="4:7" ht="50.1" customHeight="1" x14ac:dyDescent="0.15">
      <c r="G292" s="16"/>
    </row>
    <row r="293" spans="4:7" ht="50.1" customHeight="1" x14ac:dyDescent="0.15">
      <c r="G293" s="16"/>
    </row>
    <row r="294" spans="4:7" ht="50.1" customHeight="1" x14ac:dyDescent="0.15">
      <c r="D294" s="5"/>
      <c r="E294" s="21"/>
      <c r="G294" s="16"/>
    </row>
    <row r="295" spans="4:7" ht="50.1" customHeight="1" x14ac:dyDescent="0.15">
      <c r="G295" s="16"/>
    </row>
    <row r="296" spans="4:7" ht="50.1" customHeight="1" x14ac:dyDescent="0.15">
      <c r="G296" s="16"/>
    </row>
    <row r="297" spans="4:7" ht="50.1" customHeight="1" x14ac:dyDescent="0.15">
      <c r="G297" s="16"/>
    </row>
    <row r="298" spans="4:7" ht="50.1" customHeight="1" x14ac:dyDescent="0.15">
      <c r="G298" s="16"/>
    </row>
    <row r="299" spans="4:7" ht="50.1" customHeight="1" x14ac:dyDescent="0.15">
      <c r="G299" s="16"/>
    </row>
    <row r="300" spans="4:7" ht="50.1" customHeight="1" x14ac:dyDescent="0.15">
      <c r="G300" s="16"/>
    </row>
    <row r="301" spans="4:7" ht="50.1" customHeight="1" x14ac:dyDescent="0.15">
      <c r="G301" s="16"/>
    </row>
    <row r="302" spans="4:7" ht="50.1" customHeight="1" x14ac:dyDescent="0.15">
      <c r="G302" s="16"/>
    </row>
    <row r="303" spans="4:7" ht="50.1" customHeight="1" x14ac:dyDescent="0.15">
      <c r="D303" s="5"/>
      <c r="E303" s="21"/>
      <c r="G303" s="16"/>
    </row>
    <row r="304" spans="4:7" ht="50.1" customHeight="1" x14ac:dyDescent="0.15">
      <c r="G304" s="16"/>
    </row>
    <row r="305" spans="7:7" ht="50.1" customHeight="1" x14ac:dyDescent="0.15">
      <c r="G305" s="16"/>
    </row>
    <row r="306" spans="7:7" ht="50.1" customHeight="1" x14ac:dyDescent="0.15">
      <c r="G306" s="16"/>
    </row>
    <row r="307" spans="7:7" ht="50.1" customHeight="1" x14ac:dyDescent="0.15">
      <c r="G307" s="16"/>
    </row>
    <row r="308" spans="7:7" ht="50.1" customHeight="1" x14ac:dyDescent="0.15">
      <c r="G308" s="16"/>
    </row>
    <row r="309" spans="7:7" ht="50.1" customHeight="1" x14ac:dyDescent="0.15">
      <c r="G309" s="16"/>
    </row>
    <row r="310" spans="7:7" ht="50.1" customHeight="1" x14ac:dyDescent="0.15">
      <c r="G310" s="16"/>
    </row>
    <row r="311" spans="7:7" ht="50.1" customHeight="1" x14ac:dyDescent="0.15">
      <c r="G311" s="16"/>
    </row>
    <row r="312" spans="7:7" ht="50.1" customHeight="1" x14ac:dyDescent="0.15">
      <c r="G312" s="16"/>
    </row>
    <row r="313" spans="7:7" ht="50.1" customHeight="1" x14ac:dyDescent="0.15">
      <c r="G313" s="16"/>
    </row>
    <row r="314" spans="7:7" ht="50.1" customHeight="1" x14ac:dyDescent="0.15">
      <c r="G314" s="16"/>
    </row>
    <row r="315" spans="7:7" ht="50.1" customHeight="1" x14ac:dyDescent="0.15">
      <c r="G315" s="16"/>
    </row>
    <row r="316" spans="7:7" ht="50.1" customHeight="1" x14ac:dyDescent="0.15">
      <c r="G316" s="16"/>
    </row>
    <row r="317" spans="7:7" ht="50.1" customHeight="1" x14ac:dyDescent="0.15">
      <c r="G317" s="16"/>
    </row>
    <row r="318" spans="7:7" ht="50.1" customHeight="1" x14ac:dyDescent="0.15">
      <c r="G318" s="16"/>
    </row>
    <row r="319" spans="7:7" ht="50.1" customHeight="1" x14ac:dyDescent="0.15">
      <c r="G319" s="16"/>
    </row>
    <row r="320" spans="7:7" ht="50.1" customHeight="1" x14ac:dyDescent="0.15">
      <c r="G320" s="16"/>
    </row>
    <row r="321" spans="4:7" ht="50.1" customHeight="1" x14ac:dyDescent="0.15">
      <c r="G321" s="16"/>
    </row>
    <row r="322" spans="4:7" ht="50.1" customHeight="1" x14ac:dyDescent="0.15">
      <c r="G322" s="16"/>
    </row>
    <row r="323" spans="4:7" ht="50.1" customHeight="1" x14ac:dyDescent="0.15">
      <c r="G323" s="16"/>
    </row>
    <row r="324" spans="4:7" ht="50.1" customHeight="1" x14ac:dyDescent="0.15">
      <c r="D324" s="5"/>
      <c r="E324" s="21"/>
      <c r="G324" s="16"/>
    </row>
    <row r="325" spans="4:7" ht="50.1" customHeight="1" x14ac:dyDescent="0.15">
      <c r="G325" s="16"/>
    </row>
    <row r="326" spans="4:7" ht="50.1" customHeight="1" x14ac:dyDescent="0.15">
      <c r="G326" s="16"/>
    </row>
    <row r="327" spans="4:7" ht="50.1" customHeight="1" x14ac:dyDescent="0.15">
      <c r="G327" s="16"/>
    </row>
    <row r="328" spans="4:7" ht="50.1" customHeight="1" x14ac:dyDescent="0.15">
      <c r="G328" s="16"/>
    </row>
    <row r="329" spans="4:7" ht="50.1" customHeight="1" x14ac:dyDescent="0.15">
      <c r="G329" s="16"/>
    </row>
    <row r="330" spans="4:7" ht="50.1" customHeight="1" x14ac:dyDescent="0.15">
      <c r="G330" s="16"/>
    </row>
    <row r="331" spans="4:7" ht="50.1" customHeight="1" x14ac:dyDescent="0.15">
      <c r="G331" s="16"/>
    </row>
    <row r="332" spans="4:7" ht="50.1" customHeight="1" x14ac:dyDescent="0.15">
      <c r="G332" s="16"/>
    </row>
    <row r="333" spans="4:7" ht="50.1" customHeight="1" x14ac:dyDescent="0.15">
      <c r="G333" s="16"/>
    </row>
    <row r="334" spans="4:7" ht="50.1" customHeight="1" x14ac:dyDescent="0.15">
      <c r="G334" s="16"/>
    </row>
    <row r="335" spans="4:7" ht="50.1" customHeight="1" x14ac:dyDescent="0.15">
      <c r="G335" s="16"/>
    </row>
    <row r="336" spans="4:7" ht="50.1" customHeight="1" x14ac:dyDescent="0.15">
      <c r="G336" s="16"/>
    </row>
    <row r="337" spans="7:7" ht="50.1" customHeight="1" x14ac:dyDescent="0.15">
      <c r="G337" s="16"/>
    </row>
    <row r="338" spans="7:7" ht="50.1" customHeight="1" x14ac:dyDescent="0.15">
      <c r="G338" s="16"/>
    </row>
    <row r="339" spans="7:7" ht="50.1" customHeight="1" x14ac:dyDescent="0.15">
      <c r="G339" s="16"/>
    </row>
    <row r="340" spans="7:7" ht="50.1" customHeight="1" x14ac:dyDescent="0.15">
      <c r="G340" s="16"/>
    </row>
    <row r="341" spans="7:7" ht="50.1" customHeight="1" x14ac:dyDescent="0.15">
      <c r="G341" s="16"/>
    </row>
    <row r="342" spans="7:7" ht="50.1" customHeight="1" x14ac:dyDescent="0.15">
      <c r="G342" s="16"/>
    </row>
    <row r="343" spans="7:7" ht="50.1" customHeight="1" x14ac:dyDescent="0.15">
      <c r="G343" s="16"/>
    </row>
    <row r="344" spans="7:7" ht="50.1" customHeight="1" x14ac:dyDescent="0.15">
      <c r="G344" s="16"/>
    </row>
    <row r="345" spans="7:7" ht="50.1" customHeight="1" x14ac:dyDescent="0.15">
      <c r="G345" s="16"/>
    </row>
    <row r="346" spans="7:7" ht="50.1" customHeight="1" x14ac:dyDescent="0.15">
      <c r="G346" s="16"/>
    </row>
    <row r="347" spans="7:7" ht="50.1" customHeight="1" x14ac:dyDescent="0.15">
      <c r="G347" s="16"/>
    </row>
    <row r="348" spans="7:7" ht="50.1" customHeight="1" x14ac:dyDescent="0.15">
      <c r="G348" s="16"/>
    </row>
    <row r="349" spans="7:7" ht="50.1" customHeight="1" x14ac:dyDescent="0.15">
      <c r="G349" s="16"/>
    </row>
    <row r="350" spans="7:7" ht="50.1" customHeight="1" x14ac:dyDescent="0.15">
      <c r="G350" s="16"/>
    </row>
    <row r="351" spans="7:7" ht="50.1" customHeight="1" x14ac:dyDescent="0.15">
      <c r="G351" s="16"/>
    </row>
    <row r="352" spans="7:7" ht="50.1" customHeight="1" x14ac:dyDescent="0.15">
      <c r="G352" s="16"/>
    </row>
    <row r="353" spans="7:7" ht="50.1" customHeight="1" x14ac:dyDescent="0.15">
      <c r="G353" s="16"/>
    </row>
    <row r="354" spans="7:7" ht="50.1" customHeight="1" x14ac:dyDescent="0.15">
      <c r="G354" s="16"/>
    </row>
    <row r="355" spans="7:7" ht="50.1" customHeight="1" x14ac:dyDescent="0.15">
      <c r="G355" s="16"/>
    </row>
    <row r="356" spans="7:7" ht="50.1" customHeight="1" x14ac:dyDescent="0.15">
      <c r="G356" s="16"/>
    </row>
    <row r="357" spans="7:7" ht="50.1" customHeight="1" x14ac:dyDescent="0.15">
      <c r="G357" s="16"/>
    </row>
    <row r="358" spans="7:7" ht="50.1" customHeight="1" x14ac:dyDescent="0.15">
      <c r="G358" s="16"/>
    </row>
    <row r="359" spans="7:7" ht="50.1" customHeight="1" x14ac:dyDescent="0.15">
      <c r="G359" s="16"/>
    </row>
    <row r="360" spans="7:7" ht="50.1" customHeight="1" x14ac:dyDescent="0.15">
      <c r="G360" s="16"/>
    </row>
    <row r="361" spans="7:7" ht="50.1" customHeight="1" x14ac:dyDescent="0.15">
      <c r="G361" s="16"/>
    </row>
    <row r="362" spans="7:7" ht="50.1" customHeight="1" x14ac:dyDescent="0.15">
      <c r="G362" s="16"/>
    </row>
    <row r="363" spans="7:7" ht="50.1" customHeight="1" x14ac:dyDescent="0.15">
      <c r="G363" s="16"/>
    </row>
    <row r="364" spans="7:7" ht="50.1" customHeight="1" x14ac:dyDescent="0.15">
      <c r="G364" s="16"/>
    </row>
    <row r="365" spans="7:7" ht="50.1" customHeight="1" x14ac:dyDescent="0.15">
      <c r="G365" s="16"/>
    </row>
    <row r="366" spans="7:7" ht="50.1" customHeight="1" x14ac:dyDescent="0.15">
      <c r="G366" s="16"/>
    </row>
    <row r="367" spans="7:7" ht="50.1" customHeight="1" x14ac:dyDescent="0.15">
      <c r="G367" s="16"/>
    </row>
    <row r="368" spans="7:7" ht="50.1" customHeight="1" x14ac:dyDescent="0.15">
      <c r="G368" s="16"/>
    </row>
    <row r="369" spans="7:7" ht="50.1" customHeight="1" x14ac:dyDescent="0.15">
      <c r="G369" s="16"/>
    </row>
    <row r="370" spans="7:7" ht="50.1" customHeight="1" x14ac:dyDescent="0.15">
      <c r="G370" s="16"/>
    </row>
    <row r="371" spans="7:7" ht="50.1" customHeight="1" x14ac:dyDescent="0.15">
      <c r="G371" s="16"/>
    </row>
    <row r="372" spans="7:7" ht="50.1" customHeight="1" x14ac:dyDescent="0.15">
      <c r="G372" s="16"/>
    </row>
    <row r="373" spans="7:7" ht="50.1" customHeight="1" x14ac:dyDescent="0.15">
      <c r="G373" s="16"/>
    </row>
    <row r="374" spans="7:7" ht="50.1" customHeight="1" x14ac:dyDescent="0.15">
      <c r="G374" s="16"/>
    </row>
    <row r="375" spans="7:7" ht="50.1" customHeight="1" x14ac:dyDescent="0.15">
      <c r="G375" s="16"/>
    </row>
    <row r="376" spans="7:7" ht="50.1" customHeight="1" x14ac:dyDescent="0.15">
      <c r="G376" s="16"/>
    </row>
    <row r="377" spans="7:7" ht="50.1" customHeight="1" x14ac:dyDescent="0.15">
      <c r="G377" s="16"/>
    </row>
    <row r="378" spans="7:7" ht="50.1" customHeight="1" x14ac:dyDescent="0.15">
      <c r="G378" s="16"/>
    </row>
    <row r="379" spans="7:7" ht="50.1" customHeight="1" x14ac:dyDescent="0.15">
      <c r="G379" s="16"/>
    </row>
    <row r="380" spans="7:7" ht="50.1" customHeight="1" x14ac:dyDescent="0.15">
      <c r="G380" s="16"/>
    </row>
    <row r="381" spans="7:7" ht="50.1" customHeight="1" x14ac:dyDescent="0.15">
      <c r="G381" s="16"/>
    </row>
    <row r="382" spans="7:7" ht="50.1" customHeight="1" x14ac:dyDescent="0.15">
      <c r="G382" s="16"/>
    </row>
    <row r="383" spans="7:7" ht="50.1" customHeight="1" x14ac:dyDescent="0.15">
      <c r="G383" s="16"/>
    </row>
    <row r="384" spans="7:7" ht="50.1" customHeight="1" x14ac:dyDescent="0.15">
      <c r="G384" s="16"/>
    </row>
    <row r="385" spans="7:7" ht="50.1" customHeight="1" x14ac:dyDescent="0.15">
      <c r="G385" s="16"/>
    </row>
    <row r="386" spans="7:7" ht="50.1" customHeight="1" x14ac:dyDescent="0.15">
      <c r="G386" s="16"/>
    </row>
    <row r="387" spans="7:7" ht="50.1" customHeight="1" x14ac:dyDescent="0.15">
      <c r="G387" s="16"/>
    </row>
    <row r="388" spans="7:7" ht="50.1" customHeight="1" x14ac:dyDescent="0.15">
      <c r="G388" s="16"/>
    </row>
    <row r="389" spans="7:7" ht="50.1" customHeight="1" x14ac:dyDescent="0.15">
      <c r="G389" s="16"/>
    </row>
    <row r="390" spans="7:7" ht="50.1" customHeight="1" x14ac:dyDescent="0.15">
      <c r="G390" s="16"/>
    </row>
    <row r="391" spans="7:7" ht="50.1" customHeight="1" x14ac:dyDescent="0.15">
      <c r="G391" s="16"/>
    </row>
    <row r="392" spans="7:7" ht="50.1" customHeight="1" x14ac:dyDescent="0.15">
      <c r="G392" s="16"/>
    </row>
    <row r="393" spans="7:7" ht="50.1" customHeight="1" x14ac:dyDescent="0.15">
      <c r="G393" s="16"/>
    </row>
    <row r="394" spans="7:7" ht="50.1" customHeight="1" x14ac:dyDescent="0.15">
      <c r="G394" s="16"/>
    </row>
    <row r="395" spans="7:7" ht="50.1" customHeight="1" x14ac:dyDescent="0.15">
      <c r="G395" s="16"/>
    </row>
    <row r="396" spans="7:7" ht="50.1" customHeight="1" x14ac:dyDescent="0.15">
      <c r="G396" s="16"/>
    </row>
    <row r="397" spans="7:7" ht="50.1" customHeight="1" x14ac:dyDescent="0.15">
      <c r="G397" s="16"/>
    </row>
    <row r="398" spans="7:7" ht="50.1" customHeight="1" x14ac:dyDescent="0.15">
      <c r="G398" s="16"/>
    </row>
    <row r="399" spans="7:7" ht="50.1" customHeight="1" x14ac:dyDescent="0.15">
      <c r="G399" s="16"/>
    </row>
    <row r="400" spans="7:7" ht="50.1" customHeight="1" x14ac:dyDescent="0.15">
      <c r="G400" s="16"/>
    </row>
    <row r="401" spans="7:7" ht="50.1" customHeight="1" x14ac:dyDescent="0.15">
      <c r="G401" s="16"/>
    </row>
    <row r="402" spans="7:7" ht="50.1" customHeight="1" x14ac:dyDescent="0.15">
      <c r="G402" s="16"/>
    </row>
    <row r="403" spans="7:7" ht="50.1" customHeight="1" x14ac:dyDescent="0.15">
      <c r="G403" s="16"/>
    </row>
    <row r="404" spans="7:7" ht="50.1" customHeight="1" x14ac:dyDescent="0.15">
      <c r="G404" s="16"/>
    </row>
    <row r="405" spans="7:7" ht="50.1" customHeight="1" x14ac:dyDescent="0.15">
      <c r="G405" s="16"/>
    </row>
    <row r="406" spans="7:7" ht="50.1" customHeight="1" x14ac:dyDescent="0.15">
      <c r="G406" s="16"/>
    </row>
    <row r="407" spans="7:7" ht="50.1" customHeight="1" x14ac:dyDescent="0.15">
      <c r="G407" s="16"/>
    </row>
    <row r="408" spans="7:7" ht="50.1" customHeight="1" x14ac:dyDescent="0.15">
      <c r="G408" s="16"/>
    </row>
    <row r="409" spans="7:7" ht="50.1" customHeight="1" x14ac:dyDescent="0.15">
      <c r="G409" s="16"/>
    </row>
    <row r="410" spans="7:7" ht="50.1" customHeight="1" x14ac:dyDescent="0.15">
      <c r="G410" s="16"/>
    </row>
    <row r="411" spans="7:7" ht="50.1" customHeight="1" x14ac:dyDescent="0.15">
      <c r="G411" s="16"/>
    </row>
    <row r="412" spans="7:7" ht="50.1" customHeight="1" x14ac:dyDescent="0.15">
      <c r="G412" s="16"/>
    </row>
    <row r="413" spans="7:7" ht="50.1" customHeight="1" x14ac:dyDescent="0.15">
      <c r="G413" s="16"/>
    </row>
    <row r="414" spans="7:7" ht="50.1" customHeight="1" x14ac:dyDescent="0.15">
      <c r="G414" s="16"/>
    </row>
    <row r="415" spans="7:7" ht="50.1" customHeight="1" x14ac:dyDescent="0.15">
      <c r="G415" s="16"/>
    </row>
    <row r="416" spans="7:7" ht="50.1" customHeight="1" x14ac:dyDescent="0.15">
      <c r="G416" s="16"/>
    </row>
    <row r="417" spans="7:7" ht="50.1" customHeight="1" x14ac:dyDescent="0.15">
      <c r="G417" s="16"/>
    </row>
    <row r="418" spans="7:7" ht="50.1" customHeight="1" x14ac:dyDescent="0.15">
      <c r="G418" s="16"/>
    </row>
    <row r="419" spans="7:7" ht="50.1" customHeight="1" x14ac:dyDescent="0.15">
      <c r="G419" s="16"/>
    </row>
    <row r="420" spans="7:7" ht="50.1" customHeight="1" x14ac:dyDescent="0.15">
      <c r="G420" s="16"/>
    </row>
    <row r="421" spans="7:7" ht="50.1" customHeight="1" x14ac:dyDescent="0.15">
      <c r="G421" s="16"/>
    </row>
    <row r="422" spans="7:7" ht="50.1" customHeight="1" x14ac:dyDescent="0.15">
      <c r="G422" s="16"/>
    </row>
    <row r="423" spans="7:7" ht="50.1" customHeight="1" x14ac:dyDescent="0.15">
      <c r="G423" s="16"/>
    </row>
    <row r="424" spans="7:7" ht="50.1" customHeight="1" x14ac:dyDescent="0.15">
      <c r="G424" s="16"/>
    </row>
    <row r="425" spans="7:7" ht="50.1" customHeight="1" x14ac:dyDescent="0.15">
      <c r="G425" s="16"/>
    </row>
    <row r="426" spans="7:7" ht="50.1" customHeight="1" x14ac:dyDescent="0.15">
      <c r="G426" s="16"/>
    </row>
    <row r="427" spans="7:7" ht="50.1" customHeight="1" x14ac:dyDescent="0.15">
      <c r="G427" s="16"/>
    </row>
    <row r="428" spans="7:7" ht="50.1" customHeight="1" x14ac:dyDescent="0.15">
      <c r="G428" s="16"/>
    </row>
    <row r="429" spans="7:7" ht="50.1" customHeight="1" x14ac:dyDescent="0.15">
      <c r="G429" s="16"/>
    </row>
    <row r="430" spans="7:7" ht="50.1" customHeight="1" x14ac:dyDescent="0.15">
      <c r="G430" s="16"/>
    </row>
    <row r="431" spans="7:7" ht="50.1" customHeight="1" x14ac:dyDescent="0.15">
      <c r="G431" s="16"/>
    </row>
    <row r="432" spans="7:7" ht="50.1" customHeight="1" x14ac:dyDescent="0.15">
      <c r="G432" s="16"/>
    </row>
    <row r="433" spans="5:7" ht="50.1" customHeight="1" x14ac:dyDescent="0.15">
      <c r="G433" s="16"/>
    </row>
    <row r="434" spans="5:7" ht="50.1" customHeight="1" x14ac:dyDescent="0.15">
      <c r="G434" s="16"/>
    </row>
    <row r="435" spans="5:7" ht="50.1" customHeight="1" x14ac:dyDescent="0.15">
      <c r="G435" s="16"/>
    </row>
    <row r="436" spans="5:7" ht="50.1" customHeight="1" x14ac:dyDescent="0.15">
      <c r="G436" s="16"/>
    </row>
    <row r="437" spans="5:7" ht="50.1" customHeight="1" x14ac:dyDescent="0.15">
      <c r="G437" s="16"/>
    </row>
    <row r="438" spans="5:7" ht="50.1" customHeight="1" x14ac:dyDescent="0.15">
      <c r="G438" s="16"/>
    </row>
    <row r="439" spans="5:7" ht="50.1" customHeight="1" x14ac:dyDescent="0.15">
      <c r="G439" s="16"/>
    </row>
    <row r="440" spans="5:7" ht="50.1" customHeight="1" x14ac:dyDescent="0.15">
      <c r="G440" s="16"/>
    </row>
    <row r="441" spans="5:7" ht="50.1" customHeight="1" x14ac:dyDescent="0.15">
      <c r="G441" s="16"/>
    </row>
    <row r="442" spans="5:7" ht="50.1" customHeight="1" x14ac:dyDescent="0.15">
      <c r="G442" s="16"/>
    </row>
    <row r="443" spans="5:7" ht="50.1" customHeight="1" x14ac:dyDescent="0.15">
      <c r="G443" s="16"/>
    </row>
    <row r="444" spans="5:7" ht="50.1" customHeight="1" x14ac:dyDescent="0.15">
      <c r="G444" s="16"/>
    </row>
    <row r="445" spans="5:7" ht="50.1" customHeight="1" x14ac:dyDescent="0.15">
      <c r="G445" s="16"/>
    </row>
    <row r="446" spans="5:7" ht="50.1" customHeight="1" x14ac:dyDescent="0.15">
      <c r="G446" s="16"/>
    </row>
    <row r="447" spans="5:7" ht="50.1" customHeight="1" x14ac:dyDescent="0.15">
      <c r="G447" s="16"/>
    </row>
    <row r="448" spans="5:7" ht="50.1" customHeight="1" x14ac:dyDescent="0.15">
      <c r="E448" s="48"/>
      <c r="G448" s="16"/>
    </row>
    <row r="449" spans="7:7" ht="50.1" customHeight="1" x14ac:dyDescent="0.15">
      <c r="G449" s="16"/>
    </row>
    <row r="450" spans="7:7" ht="50.1" customHeight="1" x14ac:dyDescent="0.15">
      <c r="G450" s="16"/>
    </row>
    <row r="451" spans="7:7" ht="50.1" customHeight="1" x14ac:dyDescent="0.15">
      <c r="G451" s="16"/>
    </row>
    <row r="452" spans="7:7" ht="50.1" customHeight="1" x14ac:dyDescent="0.15">
      <c r="G452" s="16"/>
    </row>
    <row r="453" spans="7:7" ht="50.1" customHeight="1" x14ac:dyDescent="0.15">
      <c r="G453" s="16"/>
    </row>
    <row r="454" spans="7:7" ht="50.1" customHeight="1" x14ac:dyDescent="0.15">
      <c r="G454" s="16"/>
    </row>
    <row r="455" spans="7:7" ht="50.1" customHeight="1" x14ac:dyDescent="0.15">
      <c r="G455" s="16"/>
    </row>
    <row r="456" spans="7:7" ht="50.1" customHeight="1" x14ac:dyDescent="0.15">
      <c r="G456" s="16"/>
    </row>
    <row r="457" spans="7:7" ht="50.1" customHeight="1" x14ac:dyDescent="0.15">
      <c r="G457" s="16"/>
    </row>
    <row r="458" spans="7:7" ht="50.1" customHeight="1" x14ac:dyDescent="0.15">
      <c r="G458" s="16"/>
    </row>
    <row r="459" spans="7:7" ht="50.1" customHeight="1" x14ac:dyDescent="0.15">
      <c r="G459" s="16"/>
    </row>
    <row r="460" spans="7:7" ht="50.1" customHeight="1" x14ac:dyDescent="0.15">
      <c r="G460" s="16"/>
    </row>
    <row r="461" spans="7:7" ht="50.1" customHeight="1" x14ac:dyDescent="0.15">
      <c r="G461" s="16"/>
    </row>
    <row r="462" spans="7:7" ht="50.1" customHeight="1" x14ac:dyDescent="0.15">
      <c r="G462" s="16"/>
    </row>
    <row r="463" spans="7:7" ht="50.1" customHeight="1" x14ac:dyDescent="0.15">
      <c r="G463" s="16"/>
    </row>
    <row r="464" spans="7:7" ht="50.1" customHeight="1" x14ac:dyDescent="0.15">
      <c r="G464" s="16"/>
    </row>
    <row r="465" spans="7:7" ht="50.1" customHeight="1" x14ac:dyDescent="0.15">
      <c r="G465" s="16"/>
    </row>
    <row r="466" spans="7:7" ht="50.1" customHeight="1" x14ac:dyDescent="0.15">
      <c r="G466" s="16"/>
    </row>
    <row r="467" spans="7:7" ht="50.1" customHeight="1" x14ac:dyDescent="0.15">
      <c r="G467" s="16"/>
    </row>
    <row r="468" spans="7:7" ht="50.1" customHeight="1" x14ac:dyDescent="0.15">
      <c r="G468" s="16"/>
    </row>
    <row r="469" spans="7:7" ht="50.1" customHeight="1" x14ac:dyDescent="0.15">
      <c r="G469" s="16"/>
    </row>
    <row r="470" spans="7:7" ht="50.1" customHeight="1" x14ac:dyDescent="0.15">
      <c r="G470" s="16"/>
    </row>
    <row r="471" spans="7:7" ht="50.1" customHeight="1" x14ac:dyDescent="0.15">
      <c r="G471" s="16"/>
    </row>
    <row r="472" spans="7:7" ht="50.1" customHeight="1" x14ac:dyDescent="0.15">
      <c r="G472" s="16"/>
    </row>
    <row r="473" spans="7:7" ht="50.1" customHeight="1" x14ac:dyDescent="0.15">
      <c r="G473" s="16"/>
    </row>
    <row r="474" spans="7:7" ht="50.1" customHeight="1" x14ac:dyDescent="0.15">
      <c r="G474" s="16"/>
    </row>
    <row r="475" spans="7:7" ht="50.1" customHeight="1" x14ac:dyDescent="0.15">
      <c r="G475" s="16"/>
    </row>
    <row r="476" spans="7:7" ht="50.1" customHeight="1" x14ac:dyDescent="0.15">
      <c r="G476" s="16"/>
    </row>
    <row r="477" spans="7:7" ht="50.1" customHeight="1" x14ac:dyDescent="0.15">
      <c r="G477" s="16"/>
    </row>
    <row r="478" spans="7:7" ht="50.1" customHeight="1" x14ac:dyDescent="0.15">
      <c r="G478" s="16"/>
    </row>
    <row r="479" spans="7:7" ht="50.1" customHeight="1" x14ac:dyDescent="0.15">
      <c r="G479" s="16"/>
    </row>
    <row r="480" spans="7:7" ht="50.1" customHeight="1" x14ac:dyDescent="0.15">
      <c r="G480" s="16"/>
    </row>
    <row r="481" spans="7:7" ht="50.1" customHeight="1" x14ac:dyDescent="0.15">
      <c r="G481" s="16"/>
    </row>
    <row r="482" spans="7:7" ht="50.1" customHeight="1" x14ac:dyDescent="0.15">
      <c r="G482" s="16"/>
    </row>
    <row r="483" spans="7:7" ht="50.1" customHeight="1" x14ac:dyDescent="0.15">
      <c r="G483" s="16"/>
    </row>
    <row r="484" spans="7:7" ht="50.1" customHeight="1" x14ac:dyDescent="0.15">
      <c r="G484" s="16"/>
    </row>
    <row r="485" spans="7:7" ht="50.1" customHeight="1" x14ac:dyDescent="0.15">
      <c r="G485" s="16"/>
    </row>
    <row r="486" spans="7:7" ht="50.1" customHeight="1" x14ac:dyDescent="0.15">
      <c r="G486" s="16"/>
    </row>
    <row r="487" spans="7:7" ht="50.1" customHeight="1" x14ac:dyDescent="0.15">
      <c r="G487" s="16"/>
    </row>
    <row r="488" spans="7:7" ht="50.1" customHeight="1" x14ac:dyDescent="0.15">
      <c r="G488" s="16"/>
    </row>
    <row r="489" spans="7:7" ht="50.1" customHeight="1" x14ac:dyDescent="0.15">
      <c r="G489" s="16"/>
    </row>
    <row r="490" spans="7:7" ht="50.1" customHeight="1" x14ac:dyDescent="0.15">
      <c r="G490" s="16"/>
    </row>
    <row r="491" spans="7:7" ht="50.1" customHeight="1" x14ac:dyDescent="0.15">
      <c r="G491" s="16"/>
    </row>
    <row r="492" spans="7:7" ht="50.1" customHeight="1" x14ac:dyDescent="0.15">
      <c r="G492" s="16"/>
    </row>
    <row r="493" spans="7:7" ht="50.1" customHeight="1" x14ac:dyDescent="0.15">
      <c r="G493" s="16"/>
    </row>
    <row r="494" spans="7:7" ht="50.1" customHeight="1" x14ac:dyDescent="0.15">
      <c r="G494" s="16"/>
    </row>
    <row r="495" spans="7:7" ht="50.1" customHeight="1" x14ac:dyDescent="0.15">
      <c r="G495" s="16"/>
    </row>
    <row r="496" spans="7:7" ht="50.1" customHeight="1" x14ac:dyDescent="0.15">
      <c r="G496" s="16"/>
    </row>
    <row r="497" spans="7:7" ht="50.1" customHeight="1" x14ac:dyDescent="0.15">
      <c r="G497" s="16"/>
    </row>
    <row r="498" spans="7:7" ht="50.1" customHeight="1" x14ac:dyDescent="0.15">
      <c r="G498" s="16"/>
    </row>
    <row r="499" spans="7:7" ht="50.1" customHeight="1" x14ac:dyDescent="0.15">
      <c r="G499" s="16"/>
    </row>
    <row r="500" spans="7:7" ht="50.1" customHeight="1" x14ac:dyDescent="0.15">
      <c r="G500" s="16"/>
    </row>
  </sheetData>
  <sortState ref="D1:F5">
    <sortCondition ref="D1:D5"/>
  </sortState>
  <phoneticPr fontId="1" type="noConversion"/>
  <pageMargins left="0.75" right="0.75" top="1" bottom="1" header="0.51111111111111107" footer="0.51111111111111107"/>
  <pageSetup paperSize="9" firstPageNumber="4294963191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E21D61-633D-403A-83EF-632C2525000D}">
  <sheetPr codeName="Sheet6"/>
  <dimension ref="A1:I571"/>
  <sheetViews>
    <sheetView topLeftCell="A10" zoomScale="85" zoomScaleNormal="85" zoomScaleSheetLayoutView="100" workbookViewId="0">
      <selection activeCell="G9" sqref="G9"/>
    </sheetView>
  </sheetViews>
  <sheetFormatPr defaultColWidth="10.625" defaultRowHeight="50.1" customHeight="1" x14ac:dyDescent="0.15"/>
  <cols>
    <col min="1" max="2" width="10.625" style="23"/>
    <col min="4" max="4" width="30.625" style="15" customWidth="1"/>
    <col min="5" max="5" width="30.625" style="3" customWidth="1"/>
    <col min="6" max="6" width="50.625" style="52" customWidth="1"/>
    <col min="7" max="7" width="200.625" style="14" customWidth="1"/>
  </cols>
  <sheetData>
    <row r="1" spans="1:9" ht="50.1" customHeight="1" x14ac:dyDescent="0.15">
      <c r="A1" s="23" t="s">
        <v>0</v>
      </c>
      <c r="B1" s="23">
        <f>colorfunction(C1,D1:D500,FALSE)</f>
        <v>1</v>
      </c>
      <c r="C1" s="6"/>
      <c r="G1" s="16"/>
    </row>
    <row r="2" spans="1:9" ht="50.1" customHeight="1" x14ac:dyDescent="0.15">
      <c r="A2" s="23" t="s">
        <v>1</v>
      </c>
      <c r="B2" s="23">
        <f>colorfunction(C2,D1:D500,FALSE)</f>
        <v>0</v>
      </c>
      <c r="C2" s="7"/>
      <c r="G2" s="16"/>
    </row>
    <row r="3" spans="1:9" ht="50.1" customHeight="1" x14ac:dyDescent="0.15">
      <c r="A3" s="23" t="s">
        <v>2</v>
      </c>
      <c r="B3" s="23">
        <f>colorfunction(C3,D1:D500,FALSE)</f>
        <v>3</v>
      </c>
      <c r="C3" s="8"/>
      <c r="G3" s="16"/>
      <c r="I3" s="50"/>
    </row>
    <row r="4" spans="1:9" ht="50.1" customHeight="1" x14ac:dyDescent="0.15">
      <c r="A4" s="23" t="s">
        <v>3</v>
      </c>
      <c r="B4" s="24">
        <f>B1/(B1+B2+B3)</f>
        <v>0.25</v>
      </c>
      <c r="G4" s="16"/>
    </row>
    <row r="5" spans="1:9" ht="50.1" customHeight="1" x14ac:dyDescent="0.15">
      <c r="A5" s="23" t="s">
        <v>4</v>
      </c>
      <c r="B5" s="24">
        <f>(B1 + B2) / (B1+B2+B3)</f>
        <v>0.25</v>
      </c>
      <c r="G5" s="16"/>
    </row>
    <row r="6" spans="1:9" ht="50.1" customHeight="1" x14ac:dyDescent="0.15">
      <c r="A6" s="23" t="s">
        <v>5</v>
      </c>
      <c r="B6" s="23">
        <f xml:space="preserve"> B1 + B2 +B3</f>
        <v>4</v>
      </c>
      <c r="G6" s="16"/>
    </row>
    <row r="7" spans="1:9" ht="50.1" customHeight="1" x14ac:dyDescent="0.15">
      <c r="A7" s="23" t="s">
        <v>6</v>
      </c>
      <c r="B7" s="23">
        <f>COUNTA(D1:D500)</f>
        <v>3</v>
      </c>
      <c r="G7" s="16"/>
    </row>
    <row r="8" spans="1:9" ht="50.1" customHeight="1" x14ac:dyDescent="0.15">
      <c r="A8" s="23" t="s">
        <v>7</v>
      </c>
      <c r="B8" s="25">
        <f>B6 / B7</f>
        <v>1.3333333333333333</v>
      </c>
      <c r="G8" s="16"/>
    </row>
    <row r="9" spans="1:9" ht="50.1" customHeight="1" x14ac:dyDescent="0.15">
      <c r="G9" s="16"/>
    </row>
    <row r="10" spans="1:9" ht="50.1" customHeight="1" x14ac:dyDescent="0.15">
      <c r="D10" s="56" t="s">
        <v>214</v>
      </c>
      <c r="F10" s="52" t="s">
        <v>218</v>
      </c>
      <c r="G10" s="16" t="s">
        <v>217</v>
      </c>
    </row>
    <row r="11" spans="1:9" ht="50.1" customHeight="1" x14ac:dyDescent="0.15">
      <c r="D11" s="57" t="s">
        <v>215</v>
      </c>
      <c r="F11" s="52" t="s">
        <v>219</v>
      </c>
      <c r="G11" s="16" t="s">
        <v>220</v>
      </c>
    </row>
    <row r="12" spans="1:9" ht="50.1" customHeight="1" x14ac:dyDescent="0.15">
      <c r="D12" s="56" t="s">
        <v>216</v>
      </c>
      <c r="F12" s="58" t="s">
        <v>222</v>
      </c>
      <c r="G12" s="16" t="s">
        <v>221</v>
      </c>
    </row>
    <row r="13" spans="1:9" ht="50.1" customHeight="1" x14ac:dyDescent="0.15">
      <c r="G13" s="16"/>
    </row>
    <row r="14" spans="1:9" ht="50.1" customHeight="1" x14ac:dyDescent="0.15">
      <c r="G14" s="16"/>
    </row>
    <row r="15" spans="1:9" ht="50.1" customHeight="1" x14ac:dyDescent="0.15">
      <c r="G15" s="16"/>
    </row>
    <row r="16" spans="1:9" ht="50.1" customHeight="1" x14ac:dyDescent="0.15">
      <c r="G16" s="16"/>
    </row>
    <row r="17" spans="5:7" ht="50.1" customHeight="1" x14ac:dyDescent="0.15">
      <c r="G17" s="16"/>
    </row>
    <row r="18" spans="5:7" ht="50.1" customHeight="1" x14ac:dyDescent="0.15">
      <c r="G18" s="16"/>
    </row>
    <row r="19" spans="5:7" ht="50.1" customHeight="1" x14ac:dyDescent="0.15">
      <c r="G19" s="16"/>
    </row>
    <row r="20" spans="5:7" ht="50.1" customHeight="1" x14ac:dyDescent="0.15">
      <c r="G20" s="16"/>
    </row>
    <row r="21" spans="5:7" ht="50.1" customHeight="1" x14ac:dyDescent="0.15">
      <c r="G21" s="16"/>
    </row>
    <row r="22" spans="5:7" ht="50.1" customHeight="1" x14ac:dyDescent="0.15">
      <c r="G22" s="16"/>
    </row>
    <row r="23" spans="5:7" ht="50.1" customHeight="1" x14ac:dyDescent="0.15">
      <c r="G23" s="16"/>
    </row>
    <row r="24" spans="5:7" ht="50.1" customHeight="1" x14ac:dyDescent="0.15">
      <c r="G24" s="16"/>
    </row>
    <row r="25" spans="5:7" ht="50.1" customHeight="1" x14ac:dyDescent="0.15">
      <c r="G25" s="16"/>
    </row>
    <row r="26" spans="5:7" ht="50.1" customHeight="1" x14ac:dyDescent="0.15">
      <c r="G26" s="16"/>
    </row>
    <row r="27" spans="5:7" ht="50.1" customHeight="1" x14ac:dyDescent="0.15">
      <c r="E27" s="9"/>
      <c r="G27" s="16"/>
    </row>
    <row r="28" spans="5:7" ht="50.1" customHeight="1" x14ac:dyDescent="0.15">
      <c r="G28" s="16"/>
    </row>
    <row r="29" spans="5:7" ht="50.1" customHeight="1" x14ac:dyDescent="0.15">
      <c r="G29" s="16"/>
    </row>
    <row r="30" spans="5:7" ht="50.1" customHeight="1" x14ac:dyDescent="0.15">
      <c r="G30" s="16"/>
    </row>
    <row r="31" spans="5:7" ht="50.1" customHeight="1" x14ac:dyDescent="0.15">
      <c r="G31" s="16"/>
    </row>
    <row r="32" spans="5:7" ht="50.1" customHeight="1" x14ac:dyDescent="0.15">
      <c r="G32" s="16"/>
    </row>
    <row r="33" spans="7:7" ht="50.1" customHeight="1" x14ac:dyDescent="0.15">
      <c r="G33" s="16"/>
    </row>
    <row r="34" spans="7:7" ht="50.1" customHeight="1" x14ac:dyDescent="0.15">
      <c r="G34" s="16"/>
    </row>
    <row r="35" spans="7:7" ht="50.1" customHeight="1" x14ac:dyDescent="0.15">
      <c r="G35" s="16"/>
    </row>
    <row r="36" spans="7:7" ht="50.1" customHeight="1" x14ac:dyDescent="0.15">
      <c r="G36" s="16"/>
    </row>
    <row r="37" spans="7:7" ht="50.1" customHeight="1" x14ac:dyDescent="0.15">
      <c r="G37" s="16"/>
    </row>
    <row r="38" spans="7:7" ht="50.1" customHeight="1" x14ac:dyDescent="0.15">
      <c r="G38" s="16"/>
    </row>
    <row r="39" spans="7:7" ht="50.1" customHeight="1" x14ac:dyDescent="0.15">
      <c r="G39" s="16"/>
    </row>
    <row r="40" spans="7:7" ht="50.1" customHeight="1" x14ac:dyDescent="0.15">
      <c r="G40" s="16"/>
    </row>
    <row r="41" spans="7:7" ht="50.1" customHeight="1" x14ac:dyDescent="0.15">
      <c r="G41" s="16"/>
    </row>
    <row r="42" spans="7:7" ht="50.1" customHeight="1" x14ac:dyDescent="0.15">
      <c r="G42" s="16"/>
    </row>
    <row r="43" spans="7:7" ht="50.1" customHeight="1" x14ac:dyDescent="0.15">
      <c r="G43" s="16"/>
    </row>
    <row r="44" spans="7:7" ht="50.1" customHeight="1" x14ac:dyDescent="0.15">
      <c r="G44" s="16"/>
    </row>
    <row r="45" spans="7:7" ht="50.1" customHeight="1" x14ac:dyDescent="0.15">
      <c r="G45" s="16"/>
    </row>
    <row r="46" spans="7:7" ht="50.1" customHeight="1" x14ac:dyDescent="0.15">
      <c r="G46" s="16"/>
    </row>
    <row r="47" spans="7:7" ht="50.1" customHeight="1" x14ac:dyDescent="0.15">
      <c r="G47" s="16"/>
    </row>
    <row r="48" spans="7:7" ht="50.1" customHeight="1" x14ac:dyDescent="0.15">
      <c r="G48" s="16"/>
    </row>
    <row r="49" spans="7:7" ht="50.1" customHeight="1" x14ac:dyDescent="0.15">
      <c r="G49" s="16"/>
    </row>
    <row r="50" spans="7:7" ht="50.1" customHeight="1" x14ac:dyDescent="0.15">
      <c r="G50" s="16"/>
    </row>
    <row r="51" spans="7:7" ht="50.1" customHeight="1" x14ac:dyDescent="0.15">
      <c r="G51" s="16"/>
    </row>
    <row r="52" spans="7:7" ht="50.1" customHeight="1" x14ac:dyDescent="0.15">
      <c r="G52" s="16"/>
    </row>
    <row r="53" spans="7:7" ht="50.1" customHeight="1" x14ac:dyDescent="0.15">
      <c r="G53" s="16"/>
    </row>
    <row r="54" spans="7:7" ht="50.1" customHeight="1" x14ac:dyDescent="0.15">
      <c r="G54" s="16"/>
    </row>
    <row r="55" spans="7:7" ht="50.1" customHeight="1" x14ac:dyDescent="0.15">
      <c r="G55" s="16"/>
    </row>
    <row r="56" spans="7:7" ht="50.1" customHeight="1" x14ac:dyDescent="0.15">
      <c r="G56" s="16"/>
    </row>
    <row r="57" spans="7:7" ht="50.1" customHeight="1" x14ac:dyDescent="0.15">
      <c r="G57" s="16"/>
    </row>
    <row r="58" spans="7:7" ht="50.1" customHeight="1" x14ac:dyDescent="0.15">
      <c r="G58" s="16"/>
    </row>
    <row r="59" spans="7:7" ht="50.1" customHeight="1" x14ac:dyDescent="0.15">
      <c r="G59" s="16"/>
    </row>
    <row r="60" spans="7:7" ht="50.1" customHeight="1" x14ac:dyDescent="0.15">
      <c r="G60" s="16"/>
    </row>
    <row r="61" spans="7:7" ht="50.1" customHeight="1" x14ac:dyDescent="0.15">
      <c r="G61" s="16"/>
    </row>
    <row r="62" spans="7:7" ht="50.1" customHeight="1" x14ac:dyDescent="0.15">
      <c r="G62" s="16"/>
    </row>
    <row r="63" spans="7:7" ht="50.1" customHeight="1" x14ac:dyDescent="0.15">
      <c r="G63" s="16"/>
    </row>
    <row r="64" spans="7:7" ht="50.1" customHeight="1" x14ac:dyDescent="0.15">
      <c r="G64" s="16"/>
    </row>
    <row r="65" spans="7:7" ht="50.1" customHeight="1" x14ac:dyDescent="0.15">
      <c r="G65" s="16"/>
    </row>
    <row r="66" spans="7:7" ht="50.1" customHeight="1" x14ac:dyDescent="0.15">
      <c r="G66" s="16"/>
    </row>
    <row r="67" spans="7:7" ht="50.1" customHeight="1" x14ac:dyDescent="0.15">
      <c r="G67" s="16"/>
    </row>
    <row r="68" spans="7:7" ht="50.1" customHeight="1" x14ac:dyDescent="0.15">
      <c r="G68" s="16"/>
    </row>
    <row r="69" spans="7:7" ht="50.1" customHeight="1" x14ac:dyDescent="0.15">
      <c r="G69" s="16"/>
    </row>
    <row r="70" spans="7:7" ht="50.1" customHeight="1" x14ac:dyDescent="0.15">
      <c r="G70" s="16"/>
    </row>
    <row r="71" spans="7:7" ht="50.1" customHeight="1" x14ac:dyDescent="0.15">
      <c r="G71" s="16"/>
    </row>
    <row r="72" spans="7:7" ht="50.1" customHeight="1" x14ac:dyDescent="0.15">
      <c r="G72" s="16"/>
    </row>
    <row r="73" spans="7:7" ht="50.1" customHeight="1" x14ac:dyDescent="0.15">
      <c r="G73" s="16"/>
    </row>
    <row r="74" spans="7:7" ht="50.1" customHeight="1" x14ac:dyDescent="0.15">
      <c r="G74" s="16"/>
    </row>
    <row r="75" spans="7:7" ht="50.1" customHeight="1" x14ac:dyDescent="0.15">
      <c r="G75" s="16"/>
    </row>
    <row r="76" spans="7:7" ht="50.1" customHeight="1" x14ac:dyDescent="0.15">
      <c r="G76" s="16"/>
    </row>
    <row r="77" spans="7:7" ht="50.1" customHeight="1" x14ac:dyDescent="0.15">
      <c r="G77" s="16"/>
    </row>
    <row r="78" spans="7:7" ht="50.1" customHeight="1" x14ac:dyDescent="0.15">
      <c r="G78" s="16"/>
    </row>
    <row r="79" spans="7:7" ht="50.1" customHeight="1" x14ac:dyDescent="0.15">
      <c r="G79" s="16"/>
    </row>
    <row r="80" spans="7:7" ht="50.1" customHeight="1" x14ac:dyDescent="0.15">
      <c r="G80" s="16"/>
    </row>
    <row r="81" spans="7:7" ht="50.1" customHeight="1" x14ac:dyDescent="0.15">
      <c r="G81" s="16"/>
    </row>
    <row r="82" spans="7:7" ht="50.1" customHeight="1" x14ac:dyDescent="0.15">
      <c r="G82" s="16"/>
    </row>
    <row r="83" spans="7:7" ht="50.1" customHeight="1" x14ac:dyDescent="0.15">
      <c r="G83" s="16"/>
    </row>
    <row r="84" spans="7:7" ht="50.1" customHeight="1" x14ac:dyDescent="0.15">
      <c r="G84" s="16"/>
    </row>
    <row r="85" spans="7:7" ht="50.1" customHeight="1" x14ac:dyDescent="0.15">
      <c r="G85" s="16"/>
    </row>
    <row r="86" spans="7:7" ht="50.1" customHeight="1" x14ac:dyDescent="0.15">
      <c r="G86" s="16"/>
    </row>
    <row r="87" spans="7:7" ht="50.1" customHeight="1" x14ac:dyDescent="0.15">
      <c r="G87" s="16"/>
    </row>
    <row r="88" spans="7:7" ht="50.1" customHeight="1" x14ac:dyDescent="0.15">
      <c r="G88" s="16"/>
    </row>
    <row r="89" spans="7:7" ht="50.1" customHeight="1" x14ac:dyDescent="0.15">
      <c r="G89" s="16"/>
    </row>
    <row r="90" spans="7:7" ht="50.1" customHeight="1" x14ac:dyDescent="0.15">
      <c r="G90" s="16"/>
    </row>
    <row r="91" spans="7:7" ht="50.1" customHeight="1" x14ac:dyDescent="0.15">
      <c r="G91" s="16"/>
    </row>
    <row r="92" spans="7:7" ht="50.1" customHeight="1" x14ac:dyDescent="0.15">
      <c r="G92" s="16"/>
    </row>
    <row r="93" spans="7:7" ht="50.1" customHeight="1" x14ac:dyDescent="0.15">
      <c r="G93" s="16"/>
    </row>
    <row r="94" spans="7:7" ht="50.1" customHeight="1" x14ac:dyDescent="0.15">
      <c r="G94" s="16"/>
    </row>
    <row r="95" spans="7:7" ht="50.1" customHeight="1" x14ac:dyDescent="0.15">
      <c r="G95" s="16"/>
    </row>
    <row r="96" spans="7:7" ht="50.1" customHeight="1" x14ac:dyDescent="0.15">
      <c r="G96" s="16"/>
    </row>
    <row r="97" spans="7:7" ht="50.1" customHeight="1" x14ac:dyDescent="0.15">
      <c r="G97" s="16"/>
    </row>
    <row r="98" spans="7:7" ht="50.1" customHeight="1" x14ac:dyDescent="0.15">
      <c r="G98" s="16"/>
    </row>
    <row r="99" spans="7:7" ht="50.1" customHeight="1" x14ac:dyDescent="0.15">
      <c r="G99" s="16"/>
    </row>
    <row r="100" spans="7:7" ht="50.1" customHeight="1" x14ac:dyDescent="0.15">
      <c r="G100" s="16"/>
    </row>
    <row r="101" spans="7:7" ht="50.1" customHeight="1" x14ac:dyDescent="0.15">
      <c r="G101" s="16"/>
    </row>
    <row r="102" spans="7:7" ht="50.1" customHeight="1" x14ac:dyDescent="0.15">
      <c r="G102" s="16"/>
    </row>
    <row r="103" spans="7:7" ht="50.1" customHeight="1" x14ac:dyDescent="0.15">
      <c r="G103" s="16"/>
    </row>
    <row r="104" spans="7:7" ht="50.1" customHeight="1" x14ac:dyDescent="0.15">
      <c r="G104" s="16"/>
    </row>
    <row r="105" spans="7:7" ht="50.1" customHeight="1" x14ac:dyDescent="0.15">
      <c r="G105" s="16"/>
    </row>
    <row r="106" spans="7:7" ht="50.1" customHeight="1" x14ac:dyDescent="0.15">
      <c r="G106" s="16"/>
    </row>
    <row r="107" spans="7:7" ht="50.1" customHeight="1" x14ac:dyDescent="0.15">
      <c r="G107" s="16"/>
    </row>
    <row r="108" spans="7:7" ht="50.1" customHeight="1" x14ac:dyDescent="0.15">
      <c r="G108" s="16"/>
    </row>
    <row r="109" spans="7:7" ht="50.1" customHeight="1" x14ac:dyDescent="0.15">
      <c r="G109" s="16"/>
    </row>
    <row r="110" spans="7:7" ht="50.1" customHeight="1" x14ac:dyDescent="0.15">
      <c r="G110" s="16"/>
    </row>
    <row r="111" spans="7:7" ht="50.1" customHeight="1" x14ac:dyDescent="0.15">
      <c r="G111" s="16"/>
    </row>
    <row r="112" spans="7:7" ht="50.1" customHeight="1" x14ac:dyDescent="0.15">
      <c r="G112" s="16"/>
    </row>
    <row r="113" spans="7:7" ht="50.1" customHeight="1" x14ac:dyDescent="0.15">
      <c r="G113" s="16"/>
    </row>
    <row r="114" spans="7:7" ht="50.1" customHeight="1" x14ac:dyDescent="0.15">
      <c r="G114" s="16"/>
    </row>
    <row r="115" spans="7:7" ht="50.1" customHeight="1" x14ac:dyDescent="0.15">
      <c r="G115" s="16"/>
    </row>
    <row r="116" spans="7:7" ht="50.1" customHeight="1" x14ac:dyDescent="0.15">
      <c r="G116" s="16"/>
    </row>
    <row r="117" spans="7:7" ht="50.1" customHeight="1" x14ac:dyDescent="0.15">
      <c r="G117" s="16"/>
    </row>
    <row r="118" spans="7:7" ht="50.1" customHeight="1" x14ac:dyDescent="0.15">
      <c r="G118" s="16"/>
    </row>
    <row r="119" spans="7:7" ht="50.1" customHeight="1" x14ac:dyDescent="0.15">
      <c r="G119" s="16"/>
    </row>
    <row r="120" spans="7:7" ht="50.1" customHeight="1" x14ac:dyDescent="0.15">
      <c r="G120" s="16"/>
    </row>
    <row r="121" spans="7:7" ht="50.1" customHeight="1" x14ac:dyDescent="0.15">
      <c r="G121" s="16"/>
    </row>
    <row r="122" spans="7:7" ht="50.1" customHeight="1" x14ac:dyDescent="0.15">
      <c r="G122" s="16"/>
    </row>
    <row r="123" spans="7:7" ht="50.1" customHeight="1" x14ac:dyDescent="0.15">
      <c r="G123" s="16"/>
    </row>
    <row r="124" spans="7:7" ht="50.1" customHeight="1" x14ac:dyDescent="0.15">
      <c r="G124" s="16"/>
    </row>
    <row r="125" spans="7:7" ht="50.1" customHeight="1" x14ac:dyDescent="0.15">
      <c r="G125" s="16"/>
    </row>
    <row r="126" spans="7:7" ht="50.1" customHeight="1" x14ac:dyDescent="0.15">
      <c r="G126" s="16"/>
    </row>
    <row r="127" spans="7:7" ht="50.1" customHeight="1" x14ac:dyDescent="0.15">
      <c r="G127" s="16"/>
    </row>
    <row r="128" spans="7:7" ht="50.1" customHeight="1" x14ac:dyDescent="0.15">
      <c r="G128" s="16"/>
    </row>
    <row r="129" spans="7:7" ht="50.1" customHeight="1" x14ac:dyDescent="0.15">
      <c r="G129" s="16"/>
    </row>
    <row r="130" spans="7:7" ht="50.1" customHeight="1" x14ac:dyDescent="0.15">
      <c r="G130" s="16"/>
    </row>
    <row r="131" spans="7:7" ht="50.1" customHeight="1" x14ac:dyDescent="0.15">
      <c r="G131" s="16"/>
    </row>
    <row r="132" spans="7:7" ht="50.1" customHeight="1" x14ac:dyDescent="0.15">
      <c r="G132" s="16"/>
    </row>
    <row r="133" spans="7:7" ht="50.1" customHeight="1" x14ac:dyDescent="0.15">
      <c r="G133" s="16"/>
    </row>
    <row r="134" spans="7:7" ht="50.1" customHeight="1" x14ac:dyDescent="0.15">
      <c r="G134" s="16"/>
    </row>
    <row r="135" spans="7:7" ht="50.1" customHeight="1" x14ac:dyDescent="0.15">
      <c r="G135" s="16"/>
    </row>
    <row r="136" spans="7:7" ht="50.1" customHeight="1" x14ac:dyDescent="0.15">
      <c r="G136" s="16"/>
    </row>
    <row r="137" spans="7:7" ht="50.1" customHeight="1" x14ac:dyDescent="0.15">
      <c r="G137" s="16"/>
    </row>
    <row r="138" spans="7:7" ht="50.1" customHeight="1" x14ac:dyDescent="0.15">
      <c r="G138" s="16"/>
    </row>
    <row r="139" spans="7:7" ht="50.1" customHeight="1" x14ac:dyDescent="0.15">
      <c r="G139" s="16"/>
    </row>
    <row r="140" spans="7:7" ht="50.1" customHeight="1" x14ac:dyDescent="0.15">
      <c r="G140" s="16"/>
    </row>
    <row r="141" spans="7:7" ht="50.1" customHeight="1" x14ac:dyDescent="0.15">
      <c r="G141" s="16"/>
    </row>
    <row r="142" spans="7:7" ht="50.1" customHeight="1" x14ac:dyDescent="0.15">
      <c r="G142" s="16"/>
    </row>
    <row r="143" spans="7:7" ht="50.1" customHeight="1" x14ac:dyDescent="0.15">
      <c r="G143" s="16"/>
    </row>
    <row r="144" spans="7:7" ht="50.1" customHeight="1" x14ac:dyDescent="0.15">
      <c r="G144" s="16"/>
    </row>
    <row r="145" spans="7:7" ht="50.1" customHeight="1" x14ac:dyDescent="0.15">
      <c r="G145" s="16"/>
    </row>
    <row r="146" spans="7:7" ht="50.1" customHeight="1" x14ac:dyDescent="0.15">
      <c r="G146" s="16"/>
    </row>
    <row r="147" spans="7:7" ht="50.1" customHeight="1" x14ac:dyDescent="0.15">
      <c r="G147" s="16"/>
    </row>
    <row r="148" spans="7:7" ht="50.1" customHeight="1" x14ac:dyDescent="0.15">
      <c r="G148" s="16"/>
    </row>
    <row r="149" spans="7:7" ht="50.1" customHeight="1" x14ac:dyDescent="0.15">
      <c r="G149" s="16"/>
    </row>
    <row r="150" spans="7:7" ht="50.1" customHeight="1" x14ac:dyDescent="0.15">
      <c r="G150" s="16"/>
    </row>
    <row r="151" spans="7:7" ht="50.1" customHeight="1" x14ac:dyDescent="0.15">
      <c r="G151" s="16"/>
    </row>
    <row r="152" spans="7:7" ht="50.1" customHeight="1" x14ac:dyDescent="0.15">
      <c r="G152" s="16"/>
    </row>
    <row r="153" spans="7:7" ht="50.1" customHeight="1" x14ac:dyDescent="0.15">
      <c r="G153" s="16"/>
    </row>
    <row r="154" spans="7:7" ht="50.1" customHeight="1" x14ac:dyDescent="0.15">
      <c r="G154" s="16"/>
    </row>
    <row r="155" spans="7:7" ht="50.1" customHeight="1" x14ac:dyDescent="0.15">
      <c r="G155" s="16"/>
    </row>
    <row r="156" spans="7:7" ht="50.1" customHeight="1" x14ac:dyDescent="0.15">
      <c r="G156" s="16"/>
    </row>
    <row r="157" spans="7:7" ht="50.1" customHeight="1" x14ac:dyDescent="0.15">
      <c r="G157" s="16"/>
    </row>
    <row r="158" spans="7:7" ht="50.1" customHeight="1" x14ac:dyDescent="0.15">
      <c r="G158" s="16"/>
    </row>
    <row r="159" spans="7:7" ht="50.1" customHeight="1" x14ac:dyDescent="0.15">
      <c r="G159" s="16"/>
    </row>
    <row r="160" spans="7:7" ht="50.1" customHeight="1" x14ac:dyDescent="0.15">
      <c r="G160" s="16"/>
    </row>
    <row r="161" spans="7:7" ht="50.1" customHeight="1" x14ac:dyDescent="0.15">
      <c r="G161" s="16"/>
    </row>
    <row r="162" spans="7:7" ht="50.1" customHeight="1" x14ac:dyDescent="0.15">
      <c r="G162" s="16"/>
    </row>
    <row r="163" spans="7:7" ht="50.1" customHeight="1" x14ac:dyDescent="0.15">
      <c r="G163" s="16"/>
    </row>
    <row r="164" spans="7:7" ht="50.1" customHeight="1" x14ac:dyDescent="0.15">
      <c r="G164" s="16"/>
    </row>
    <row r="165" spans="7:7" ht="50.1" customHeight="1" x14ac:dyDescent="0.15">
      <c r="G165" s="16"/>
    </row>
    <row r="166" spans="7:7" ht="50.1" customHeight="1" x14ac:dyDescent="0.15">
      <c r="G166" s="16"/>
    </row>
    <row r="167" spans="7:7" ht="50.1" customHeight="1" x14ac:dyDescent="0.15">
      <c r="G167" s="16"/>
    </row>
    <row r="168" spans="7:7" ht="50.1" customHeight="1" x14ac:dyDescent="0.15">
      <c r="G168" s="16"/>
    </row>
    <row r="169" spans="7:7" ht="50.1" customHeight="1" x14ac:dyDescent="0.15">
      <c r="G169" s="16"/>
    </row>
    <row r="170" spans="7:7" ht="50.1" customHeight="1" x14ac:dyDescent="0.15">
      <c r="G170" s="16"/>
    </row>
    <row r="171" spans="7:7" ht="50.1" customHeight="1" x14ac:dyDescent="0.15">
      <c r="G171" s="16"/>
    </row>
    <row r="172" spans="7:7" ht="50.1" customHeight="1" x14ac:dyDescent="0.15">
      <c r="G172" s="16"/>
    </row>
    <row r="173" spans="7:7" ht="50.1" customHeight="1" x14ac:dyDescent="0.15">
      <c r="G173" s="16"/>
    </row>
    <row r="174" spans="7:7" ht="50.1" customHeight="1" x14ac:dyDescent="0.15">
      <c r="G174" s="16"/>
    </row>
    <row r="175" spans="7:7" ht="50.1" customHeight="1" x14ac:dyDescent="0.15">
      <c r="G175" s="16"/>
    </row>
    <row r="176" spans="7:7" ht="50.1" customHeight="1" x14ac:dyDescent="0.15">
      <c r="G176" s="16"/>
    </row>
    <row r="177" spans="7:7" ht="50.1" customHeight="1" x14ac:dyDescent="0.15">
      <c r="G177" s="16"/>
    </row>
    <row r="178" spans="7:7" ht="50.1" customHeight="1" x14ac:dyDescent="0.15">
      <c r="G178" s="16"/>
    </row>
    <row r="179" spans="7:7" ht="50.1" customHeight="1" x14ac:dyDescent="0.15">
      <c r="G179" s="16"/>
    </row>
    <row r="180" spans="7:7" ht="50.1" customHeight="1" x14ac:dyDescent="0.15">
      <c r="G180" s="16"/>
    </row>
    <row r="181" spans="7:7" ht="50.1" customHeight="1" x14ac:dyDescent="0.15">
      <c r="G181" s="16"/>
    </row>
    <row r="182" spans="7:7" ht="50.1" customHeight="1" x14ac:dyDescent="0.15">
      <c r="G182" s="16"/>
    </row>
    <row r="183" spans="7:7" ht="50.1" customHeight="1" x14ac:dyDescent="0.15">
      <c r="G183" s="16"/>
    </row>
    <row r="184" spans="7:7" ht="50.1" customHeight="1" x14ac:dyDescent="0.15">
      <c r="G184" s="16"/>
    </row>
    <row r="185" spans="7:7" ht="50.1" customHeight="1" x14ac:dyDescent="0.15">
      <c r="G185" s="16"/>
    </row>
    <row r="186" spans="7:7" ht="50.1" customHeight="1" x14ac:dyDescent="0.15">
      <c r="G186" s="16"/>
    </row>
    <row r="187" spans="7:7" ht="50.1" customHeight="1" x14ac:dyDescent="0.15">
      <c r="G187" s="16"/>
    </row>
    <row r="188" spans="7:7" ht="50.1" customHeight="1" x14ac:dyDescent="0.15">
      <c r="G188" s="16"/>
    </row>
    <row r="189" spans="7:7" ht="50.1" customHeight="1" x14ac:dyDescent="0.15">
      <c r="G189" s="16"/>
    </row>
    <row r="190" spans="7:7" ht="50.1" customHeight="1" x14ac:dyDescent="0.15">
      <c r="G190" s="16"/>
    </row>
    <row r="191" spans="7:7" ht="50.1" customHeight="1" x14ac:dyDescent="0.15">
      <c r="G191" s="16"/>
    </row>
    <row r="192" spans="7:7" ht="50.1" customHeight="1" x14ac:dyDescent="0.15">
      <c r="G192" s="16"/>
    </row>
    <row r="193" spans="7:7" ht="50.1" customHeight="1" x14ac:dyDescent="0.15">
      <c r="G193" s="16"/>
    </row>
    <row r="194" spans="7:7" ht="50.1" customHeight="1" x14ac:dyDescent="0.15">
      <c r="G194" s="16"/>
    </row>
    <row r="195" spans="7:7" ht="50.1" customHeight="1" x14ac:dyDescent="0.15">
      <c r="G195" s="16"/>
    </row>
    <row r="196" spans="7:7" ht="50.1" customHeight="1" x14ac:dyDescent="0.15">
      <c r="G196" s="16"/>
    </row>
    <row r="197" spans="7:7" ht="50.1" customHeight="1" x14ac:dyDescent="0.15">
      <c r="G197" s="16"/>
    </row>
    <row r="198" spans="7:7" ht="50.1" customHeight="1" x14ac:dyDescent="0.15">
      <c r="G198" s="16"/>
    </row>
    <row r="199" spans="7:7" ht="50.1" customHeight="1" x14ac:dyDescent="0.15">
      <c r="G199" s="16"/>
    </row>
    <row r="200" spans="7:7" ht="50.1" customHeight="1" x14ac:dyDescent="0.15">
      <c r="G200" s="16"/>
    </row>
    <row r="201" spans="7:7" ht="50.1" customHeight="1" x14ac:dyDescent="0.15">
      <c r="G201" s="16"/>
    </row>
    <row r="202" spans="7:7" ht="50.1" customHeight="1" x14ac:dyDescent="0.15">
      <c r="G202" s="16"/>
    </row>
    <row r="203" spans="7:7" ht="50.1" customHeight="1" x14ac:dyDescent="0.15">
      <c r="G203" s="16"/>
    </row>
    <row r="204" spans="7:7" ht="50.1" customHeight="1" x14ac:dyDescent="0.15">
      <c r="G204" s="16"/>
    </row>
    <row r="205" spans="7:7" ht="50.1" customHeight="1" x14ac:dyDescent="0.15">
      <c r="G205" s="16"/>
    </row>
    <row r="206" spans="7:7" ht="50.1" customHeight="1" x14ac:dyDescent="0.15">
      <c r="G206" s="16"/>
    </row>
    <row r="207" spans="7:7" ht="50.1" customHeight="1" x14ac:dyDescent="0.15">
      <c r="G207" s="16"/>
    </row>
    <row r="208" spans="7:7" ht="50.1" customHeight="1" x14ac:dyDescent="0.15">
      <c r="G208" s="16"/>
    </row>
    <row r="209" spans="7:7" ht="50.1" customHeight="1" x14ac:dyDescent="0.15">
      <c r="G209" s="16"/>
    </row>
    <row r="210" spans="7:7" ht="50.1" customHeight="1" x14ac:dyDescent="0.15">
      <c r="G210" s="16"/>
    </row>
    <row r="211" spans="7:7" ht="50.1" customHeight="1" x14ac:dyDescent="0.15">
      <c r="G211" s="16"/>
    </row>
    <row r="212" spans="7:7" ht="50.1" customHeight="1" x14ac:dyDescent="0.15">
      <c r="G212" s="16"/>
    </row>
    <row r="213" spans="7:7" ht="50.1" customHeight="1" x14ac:dyDescent="0.15">
      <c r="G213" s="16"/>
    </row>
    <row r="214" spans="7:7" ht="50.1" customHeight="1" x14ac:dyDescent="0.15">
      <c r="G214" s="16"/>
    </row>
    <row r="215" spans="7:7" ht="50.1" customHeight="1" x14ac:dyDescent="0.15">
      <c r="G215" s="16"/>
    </row>
    <row r="216" spans="7:7" ht="50.1" customHeight="1" x14ac:dyDescent="0.15">
      <c r="G216" s="16"/>
    </row>
    <row r="217" spans="7:7" ht="50.1" customHeight="1" x14ac:dyDescent="0.15">
      <c r="G217" s="16"/>
    </row>
    <row r="218" spans="7:7" ht="50.1" customHeight="1" x14ac:dyDescent="0.15">
      <c r="G218" s="16"/>
    </row>
    <row r="219" spans="7:7" ht="50.1" customHeight="1" x14ac:dyDescent="0.15">
      <c r="G219" s="16"/>
    </row>
    <row r="220" spans="7:7" ht="50.1" customHeight="1" x14ac:dyDescent="0.15">
      <c r="G220" s="16"/>
    </row>
    <row r="221" spans="7:7" ht="50.1" customHeight="1" x14ac:dyDescent="0.15">
      <c r="G221" s="16"/>
    </row>
    <row r="222" spans="7:7" ht="50.1" customHeight="1" x14ac:dyDescent="0.15">
      <c r="G222" s="16"/>
    </row>
    <row r="223" spans="7:7" ht="50.1" customHeight="1" x14ac:dyDescent="0.15">
      <c r="G223" s="16"/>
    </row>
    <row r="224" spans="7:7" ht="50.1" customHeight="1" x14ac:dyDescent="0.15">
      <c r="G224" s="16"/>
    </row>
    <row r="225" spans="7:7" ht="50.1" customHeight="1" x14ac:dyDescent="0.15">
      <c r="G225" s="16"/>
    </row>
    <row r="226" spans="7:7" ht="50.1" customHeight="1" x14ac:dyDescent="0.15">
      <c r="G226" s="16"/>
    </row>
    <row r="227" spans="7:7" ht="50.1" customHeight="1" x14ac:dyDescent="0.15">
      <c r="G227" s="16"/>
    </row>
    <row r="228" spans="7:7" ht="50.1" customHeight="1" x14ac:dyDescent="0.15">
      <c r="G228" s="16"/>
    </row>
    <row r="229" spans="7:7" ht="50.1" customHeight="1" x14ac:dyDescent="0.15">
      <c r="G229" s="16"/>
    </row>
    <row r="230" spans="7:7" ht="50.1" customHeight="1" x14ac:dyDescent="0.15">
      <c r="G230" s="16"/>
    </row>
    <row r="231" spans="7:7" ht="50.1" customHeight="1" x14ac:dyDescent="0.15">
      <c r="G231" s="16"/>
    </row>
    <row r="232" spans="7:7" ht="50.1" customHeight="1" x14ac:dyDescent="0.15">
      <c r="G232" s="16"/>
    </row>
    <row r="233" spans="7:7" ht="50.1" customHeight="1" x14ac:dyDescent="0.15">
      <c r="G233" s="16"/>
    </row>
    <row r="234" spans="7:7" ht="50.1" customHeight="1" x14ac:dyDescent="0.15">
      <c r="G234" s="16"/>
    </row>
    <row r="235" spans="7:7" ht="50.1" customHeight="1" x14ac:dyDescent="0.15">
      <c r="G235" s="16"/>
    </row>
    <row r="236" spans="7:7" ht="50.1" customHeight="1" x14ac:dyDescent="0.15">
      <c r="G236" s="16"/>
    </row>
    <row r="237" spans="7:7" ht="50.1" customHeight="1" x14ac:dyDescent="0.15">
      <c r="G237" s="16"/>
    </row>
    <row r="238" spans="7:7" ht="50.1" customHeight="1" x14ac:dyDescent="0.15">
      <c r="G238" s="16"/>
    </row>
    <row r="239" spans="7:7" ht="50.1" customHeight="1" x14ac:dyDescent="0.15">
      <c r="G239" s="16"/>
    </row>
    <row r="240" spans="7:7" ht="50.1" customHeight="1" x14ac:dyDescent="0.15">
      <c r="G240" s="16"/>
    </row>
    <row r="241" spans="7:7" ht="50.1" customHeight="1" x14ac:dyDescent="0.15">
      <c r="G241" s="16"/>
    </row>
    <row r="242" spans="7:7" ht="50.1" customHeight="1" x14ac:dyDescent="0.15">
      <c r="G242" s="16"/>
    </row>
    <row r="243" spans="7:7" ht="50.1" customHeight="1" x14ac:dyDescent="0.15">
      <c r="G243" s="16"/>
    </row>
    <row r="244" spans="7:7" ht="50.1" customHeight="1" x14ac:dyDescent="0.15">
      <c r="G244" s="16"/>
    </row>
    <row r="245" spans="7:7" ht="50.1" customHeight="1" x14ac:dyDescent="0.15">
      <c r="G245" s="16"/>
    </row>
    <row r="246" spans="7:7" ht="50.1" customHeight="1" x14ac:dyDescent="0.15">
      <c r="G246" s="16"/>
    </row>
    <row r="247" spans="7:7" ht="50.1" customHeight="1" x14ac:dyDescent="0.15">
      <c r="G247" s="16"/>
    </row>
    <row r="248" spans="7:7" ht="50.1" customHeight="1" x14ac:dyDescent="0.15">
      <c r="G248" s="16"/>
    </row>
    <row r="249" spans="7:7" ht="50.1" customHeight="1" x14ac:dyDescent="0.15">
      <c r="G249" s="16"/>
    </row>
    <row r="250" spans="7:7" ht="50.1" customHeight="1" x14ac:dyDescent="0.15">
      <c r="G250" s="16"/>
    </row>
    <row r="251" spans="7:7" ht="50.1" customHeight="1" x14ac:dyDescent="0.15">
      <c r="G251" s="16"/>
    </row>
    <row r="252" spans="7:7" ht="50.1" customHeight="1" x14ac:dyDescent="0.15">
      <c r="G252" s="16"/>
    </row>
    <row r="253" spans="7:7" ht="50.1" customHeight="1" x14ac:dyDescent="0.15">
      <c r="G253" s="16"/>
    </row>
    <row r="254" spans="7:7" ht="50.1" customHeight="1" x14ac:dyDescent="0.15">
      <c r="G254" s="16"/>
    </row>
    <row r="255" spans="7:7" ht="50.1" customHeight="1" x14ac:dyDescent="0.15">
      <c r="G255" s="16"/>
    </row>
    <row r="256" spans="7:7" ht="50.1" customHeight="1" x14ac:dyDescent="0.15">
      <c r="G256" s="16"/>
    </row>
    <row r="257" spans="7:7" ht="50.1" customHeight="1" x14ac:dyDescent="0.15">
      <c r="G257" s="16"/>
    </row>
    <row r="258" spans="7:7" ht="50.1" customHeight="1" x14ac:dyDescent="0.15">
      <c r="G258" s="16"/>
    </row>
    <row r="259" spans="7:7" ht="50.1" customHeight="1" x14ac:dyDescent="0.15">
      <c r="G259" s="16"/>
    </row>
    <row r="260" spans="7:7" ht="50.1" customHeight="1" x14ac:dyDescent="0.15">
      <c r="G260" s="16"/>
    </row>
    <row r="261" spans="7:7" ht="50.1" customHeight="1" x14ac:dyDescent="0.15">
      <c r="G261" s="16"/>
    </row>
    <row r="262" spans="7:7" ht="50.1" customHeight="1" x14ac:dyDescent="0.15">
      <c r="G262" s="16"/>
    </row>
    <row r="263" spans="7:7" ht="50.1" customHeight="1" x14ac:dyDescent="0.15">
      <c r="G263" s="16"/>
    </row>
    <row r="264" spans="7:7" ht="50.1" customHeight="1" x14ac:dyDescent="0.15">
      <c r="G264" s="16"/>
    </row>
    <row r="265" spans="7:7" ht="50.1" customHeight="1" x14ac:dyDescent="0.15">
      <c r="G265" s="16"/>
    </row>
    <row r="266" spans="7:7" ht="50.1" customHeight="1" x14ac:dyDescent="0.15">
      <c r="G266" s="16"/>
    </row>
    <row r="267" spans="7:7" ht="50.1" customHeight="1" x14ac:dyDescent="0.15">
      <c r="G267" s="16"/>
    </row>
    <row r="268" spans="7:7" ht="50.1" customHeight="1" x14ac:dyDescent="0.15">
      <c r="G268" s="16"/>
    </row>
    <row r="269" spans="7:7" ht="50.1" customHeight="1" x14ac:dyDescent="0.15">
      <c r="G269" s="22"/>
    </row>
    <row r="270" spans="7:7" ht="50.1" customHeight="1" x14ac:dyDescent="0.15">
      <c r="G270" s="16"/>
    </row>
    <row r="271" spans="7:7" ht="50.1" customHeight="1" x14ac:dyDescent="0.15">
      <c r="G271" s="16"/>
    </row>
    <row r="272" spans="7:7" ht="50.1" customHeight="1" x14ac:dyDescent="0.15">
      <c r="G272" s="16"/>
    </row>
    <row r="273" spans="5:7" ht="50.1" customHeight="1" x14ac:dyDescent="0.15">
      <c r="G273" s="16"/>
    </row>
    <row r="274" spans="5:7" ht="50.1" customHeight="1" x14ac:dyDescent="0.15">
      <c r="G274" s="16"/>
    </row>
    <row r="275" spans="5:7" ht="50.1" customHeight="1" x14ac:dyDescent="0.15">
      <c r="G275" s="16"/>
    </row>
    <row r="276" spans="5:7" ht="50.1" customHeight="1" x14ac:dyDescent="0.15">
      <c r="G276" s="16"/>
    </row>
    <row r="277" spans="5:7" ht="50.1" customHeight="1" x14ac:dyDescent="0.15">
      <c r="G277" s="16"/>
    </row>
    <row r="278" spans="5:7" ht="50.1" customHeight="1" x14ac:dyDescent="0.15">
      <c r="G278" s="16"/>
    </row>
    <row r="279" spans="5:7" ht="50.1" customHeight="1" x14ac:dyDescent="0.15">
      <c r="G279" s="16"/>
    </row>
    <row r="280" spans="5:7" ht="50.1" customHeight="1" x14ac:dyDescent="0.15">
      <c r="G280" s="16"/>
    </row>
    <row r="281" spans="5:7" ht="50.1" customHeight="1" x14ac:dyDescent="0.15">
      <c r="E281" s="9"/>
      <c r="G281" s="16"/>
    </row>
    <row r="282" spans="5:7" ht="50.1" customHeight="1" x14ac:dyDescent="0.15">
      <c r="G282" s="16"/>
    </row>
    <row r="283" spans="5:7" ht="50.1" customHeight="1" x14ac:dyDescent="0.15">
      <c r="G283" s="16"/>
    </row>
    <row r="284" spans="5:7" ht="50.1" customHeight="1" x14ac:dyDescent="0.15">
      <c r="G284" s="16"/>
    </row>
    <row r="285" spans="5:7" ht="50.1" customHeight="1" x14ac:dyDescent="0.15">
      <c r="G285" s="16"/>
    </row>
    <row r="286" spans="5:7" ht="50.1" customHeight="1" x14ac:dyDescent="0.15">
      <c r="G286" s="16"/>
    </row>
    <row r="287" spans="5:7" ht="50.1" customHeight="1" x14ac:dyDescent="0.15">
      <c r="G287" s="16"/>
    </row>
    <row r="288" spans="5:7" ht="50.1" customHeight="1" x14ac:dyDescent="0.15">
      <c r="G288" s="16"/>
    </row>
    <row r="289" spans="6:7" ht="50.1" customHeight="1" x14ac:dyDescent="0.15">
      <c r="G289" s="16"/>
    </row>
    <row r="290" spans="6:7" ht="50.1" customHeight="1" x14ac:dyDescent="0.15">
      <c r="G290" s="16"/>
    </row>
    <row r="291" spans="6:7" ht="50.1" customHeight="1" x14ac:dyDescent="0.15">
      <c r="G291" s="16"/>
    </row>
    <row r="292" spans="6:7" ht="50.1" customHeight="1" x14ac:dyDescent="0.15">
      <c r="G292" s="16"/>
    </row>
    <row r="293" spans="6:7" ht="50.1" customHeight="1" x14ac:dyDescent="0.15">
      <c r="G293" s="16"/>
    </row>
    <row r="294" spans="6:7" ht="50.1" customHeight="1" x14ac:dyDescent="0.15">
      <c r="G294" s="16"/>
    </row>
    <row r="295" spans="6:7" ht="50.1" customHeight="1" x14ac:dyDescent="0.15">
      <c r="G295" s="16"/>
    </row>
    <row r="296" spans="6:7" ht="50.1" customHeight="1" x14ac:dyDescent="0.15">
      <c r="G296" s="16"/>
    </row>
    <row r="297" spans="6:7" ht="50.1" customHeight="1" x14ac:dyDescent="0.15">
      <c r="G297" s="16"/>
    </row>
    <row r="298" spans="6:7" ht="50.1" customHeight="1" x14ac:dyDescent="0.15">
      <c r="G298" s="16"/>
    </row>
    <row r="299" spans="6:7" ht="50.1" customHeight="1" x14ac:dyDescent="0.15">
      <c r="G299" s="16"/>
    </row>
    <row r="300" spans="6:7" ht="50.1" customHeight="1" x14ac:dyDescent="0.15">
      <c r="G300" s="16"/>
    </row>
    <row r="301" spans="6:7" ht="50.1" customHeight="1" x14ac:dyDescent="0.15">
      <c r="F301" s="52" t="s">
        <v>26</v>
      </c>
      <c r="G301" s="16"/>
    </row>
    <row r="302" spans="6:7" ht="50.1" customHeight="1" x14ac:dyDescent="0.15">
      <c r="G302" s="16"/>
    </row>
    <row r="303" spans="6:7" ht="50.1" customHeight="1" x14ac:dyDescent="0.15">
      <c r="G303" s="16"/>
    </row>
    <row r="304" spans="6:7" ht="50.1" customHeight="1" x14ac:dyDescent="0.15">
      <c r="G304" s="16"/>
    </row>
    <row r="305" spans="6:7" ht="50.1" customHeight="1" x14ac:dyDescent="0.15">
      <c r="G305" s="16"/>
    </row>
    <row r="306" spans="6:7" ht="50.1" customHeight="1" x14ac:dyDescent="0.15">
      <c r="G306" s="16"/>
    </row>
    <row r="307" spans="6:7" ht="50.1" customHeight="1" x14ac:dyDescent="0.15">
      <c r="G307" s="16"/>
    </row>
    <row r="308" spans="6:7" ht="50.1" customHeight="1" x14ac:dyDescent="0.15">
      <c r="G308" s="16"/>
    </row>
    <row r="309" spans="6:7" ht="50.1" customHeight="1" x14ac:dyDescent="0.15">
      <c r="G309" s="16"/>
    </row>
    <row r="310" spans="6:7" ht="50.1" customHeight="1" x14ac:dyDescent="0.15">
      <c r="G310" s="16"/>
    </row>
    <row r="311" spans="6:7" ht="50.1" customHeight="1" x14ac:dyDescent="0.15">
      <c r="G311" s="16"/>
    </row>
    <row r="312" spans="6:7" ht="50.1" customHeight="1" x14ac:dyDescent="0.15">
      <c r="G312" s="16"/>
    </row>
    <row r="313" spans="6:7" ht="50.1" customHeight="1" x14ac:dyDescent="0.15">
      <c r="F313" s="52" t="s">
        <v>27</v>
      </c>
      <c r="G313" s="16"/>
    </row>
    <row r="314" spans="6:7" ht="50.1" customHeight="1" x14ac:dyDescent="0.15">
      <c r="F314" s="52" t="s">
        <v>27</v>
      </c>
      <c r="G314" s="16"/>
    </row>
    <row r="315" spans="6:7" ht="50.1" customHeight="1" x14ac:dyDescent="0.15">
      <c r="G315" s="16"/>
    </row>
    <row r="316" spans="6:7" ht="50.1" customHeight="1" x14ac:dyDescent="0.15">
      <c r="G316" s="16"/>
    </row>
    <row r="317" spans="6:7" ht="50.1" customHeight="1" x14ac:dyDescent="0.15">
      <c r="G317" s="16"/>
    </row>
    <row r="318" spans="6:7" ht="50.1" customHeight="1" x14ac:dyDescent="0.15">
      <c r="G318" s="16"/>
    </row>
    <row r="319" spans="6:7" ht="50.1" customHeight="1" x14ac:dyDescent="0.15">
      <c r="G319" s="16"/>
    </row>
    <row r="320" spans="6:7" ht="50.1" customHeight="1" x14ac:dyDescent="0.15">
      <c r="G320" s="16"/>
    </row>
    <row r="321" spans="6:7" ht="50.1" customHeight="1" x14ac:dyDescent="0.15">
      <c r="F321" s="52" t="s">
        <v>28</v>
      </c>
      <c r="G321" s="16"/>
    </row>
    <row r="322" spans="6:7" ht="50.1" customHeight="1" x14ac:dyDescent="0.15">
      <c r="G322" s="16"/>
    </row>
    <row r="323" spans="6:7" ht="50.1" customHeight="1" x14ac:dyDescent="0.15">
      <c r="G323" s="16"/>
    </row>
    <row r="324" spans="6:7" ht="50.1" customHeight="1" x14ac:dyDescent="0.15">
      <c r="G324" s="16"/>
    </row>
    <row r="325" spans="6:7" ht="50.1" customHeight="1" x14ac:dyDescent="0.15">
      <c r="G325" s="16"/>
    </row>
    <row r="326" spans="6:7" ht="50.1" customHeight="1" x14ac:dyDescent="0.15">
      <c r="G326" s="16"/>
    </row>
    <row r="327" spans="6:7" ht="50.1" customHeight="1" x14ac:dyDescent="0.15">
      <c r="G327" s="16"/>
    </row>
    <row r="328" spans="6:7" ht="50.1" customHeight="1" x14ac:dyDescent="0.15">
      <c r="G328" s="16"/>
    </row>
    <row r="329" spans="6:7" ht="50.1" customHeight="1" x14ac:dyDescent="0.15">
      <c r="G329" s="16"/>
    </row>
    <row r="330" spans="6:7" ht="50.1" customHeight="1" x14ac:dyDescent="0.15">
      <c r="G330" s="16"/>
    </row>
    <row r="331" spans="6:7" ht="50.1" customHeight="1" x14ac:dyDescent="0.15">
      <c r="G331" s="16"/>
    </row>
    <row r="332" spans="6:7" ht="50.1" customHeight="1" x14ac:dyDescent="0.15">
      <c r="G332" s="16"/>
    </row>
    <row r="333" spans="6:7" ht="50.1" customHeight="1" x14ac:dyDescent="0.15">
      <c r="G333" s="16"/>
    </row>
    <row r="334" spans="6:7" ht="50.1" customHeight="1" x14ac:dyDescent="0.15">
      <c r="G334" s="16"/>
    </row>
    <row r="335" spans="6:7" ht="50.1" customHeight="1" x14ac:dyDescent="0.15">
      <c r="G335" s="16"/>
    </row>
    <row r="336" spans="6:7" ht="50.1" customHeight="1" x14ac:dyDescent="0.15">
      <c r="G336" s="16"/>
    </row>
    <row r="337" spans="6:7" ht="50.1" customHeight="1" x14ac:dyDescent="0.15">
      <c r="G337" s="16"/>
    </row>
    <row r="338" spans="6:7" ht="50.1" customHeight="1" x14ac:dyDescent="0.15">
      <c r="G338" s="16"/>
    </row>
    <row r="339" spans="6:7" ht="50.1" customHeight="1" x14ac:dyDescent="0.15">
      <c r="G339" s="16"/>
    </row>
    <row r="340" spans="6:7" ht="50.1" customHeight="1" x14ac:dyDescent="0.15">
      <c r="G340" s="16"/>
    </row>
    <row r="341" spans="6:7" ht="50.1" customHeight="1" x14ac:dyDescent="0.15">
      <c r="G341" s="16"/>
    </row>
    <row r="342" spans="6:7" ht="50.1" customHeight="1" x14ac:dyDescent="0.15">
      <c r="G342" s="16"/>
    </row>
    <row r="343" spans="6:7" ht="50.1" customHeight="1" x14ac:dyDescent="0.15">
      <c r="G343" s="16"/>
    </row>
    <row r="344" spans="6:7" ht="50.1" customHeight="1" x14ac:dyDescent="0.15">
      <c r="G344" s="16"/>
    </row>
    <row r="345" spans="6:7" ht="50.1" customHeight="1" x14ac:dyDescent="0.15">
      <c r="G345" s="16"/>
    </row>
    <row r="346" spans="6:7" ht="50.1" customHeight="1" x14ac:dyDescent="0.15">
      <c r="G346" s="16"/>
    </row>
    <row r="347" spans="6:7" ht="50.1" customHeight="1" x14ac:dyDescent="0.15">
      <c r="G347" s="22"/>
    </row>
    <row r="348" spans="6:7" ht="50.1" customHeight="1" x14ac:dyDescent="0.15">
      <c r="G348" s="16"/>
    </row>
    <row r="349" spans="6:7" ht="50.1" customHeight="1" x14ac:dyDescent="0.15">
      <c r="F349" s="52" t="s">
        <v>29</v>
      </c>
      <c r="G349" s="16"/>
    </row>
    <row r="350" spans="6:7" ht="50.1" customHeight="1" x14ac:dyDescent="0.15">
      <c r="G350" s="16"/>
    </row>
    <row r="351" spans="6:7" ht="50.1" customHeight="1" x14ac:dyDescent="0.15">
      <c r="G351" s="16"/>
    </row>
    <row r="352" spans="6:7" ht="50.1" customHeight="1" x14ac:dyDescent="0.15">
      <c r="G352" s="16"/>
    </row>
    <row r="353" spans="6:7" ht="50.1" customHeight="1" x14ac:dyDescent="0.15">
      <c r="G353" s="16"/>
    </row>
    <row r="354" spans="6:7" ht="50.1" customHeight="1" x14ac:dyDescent="0.15">
      <c r="G354" s="16"/>
    </row>
    <row r="355" spans="6:7" ht="50.1" customHeight="1" x14ac:dyDescent="0.15">
      <c r="F355" s="52" t="s">
        <v>30</v>
      </c>
      <c r="G355" s="16"/>
    </row>
    <row r="356" spans="6:7" ht="50.1" customHeight="1" x14ac:dyDescent="0.15">
      <c r="G356" s="16"/>
    </row>
    <row r="357" spans="6:7" ht="50.1" customHeight="1" x14ac:dyDescent="0.15">
      <c r="G357" s="16"/>
    </row>
    <row r="358" spans="6:7" ht="50.1" customHeight="1" x14ac:dyDescent="0.15">
      <c r="G358" s="16"/>
    </row>
    <row r="359" spans="6:7" ht="50.1" customHeight="1" x14ac:dyDescent="0.15">
      <c r="G359" s="16"/>
    </row>
    <row r="360" spans="6:7" ht="50.1" customHeight="1" x14ac:dyDescent="0.15">
      <c r="G360" s="16"/>
    </row>
    <row r="361" spans="6:7" ht="50.1" customHeight="1" x14ac:dyDescent="0.15">
      <c r="G361" s="16"/>
    </row>
    <row r="362" spans="6:7" ht="50.1" customHeight="1" x14ac:dyDescent="0.15">
      <c r="G362" s="16"/>
    </row>
    <row r="363" spans="6:7" ht="50.1" customHeight="1" x14ac:dyDescent="0.15">
      <c r="G363" s="16"/>
    </row>
    <row r="364" spans="6:7" ht="50.1" customHeight="1" x14ac:dyDescent="0.15">
      <c r="G364" s="16"/>
    </row>
    <row r="365" spans="6:7" ht="50.1" customHeight="1" x14ac:dyDescent="0.15">
      <c r="G365" s="16"/>
    </row>
    <row r="366" spans="6:7" ht="50.1" customHeight="1" x14ac:dyDescent="0.15">
      <c r="G366" s="16"/>
    </row>
    <row r="367" spans="6:7" ht="50.1" customHeight="1" x14ac:dyDescent="0.15">
      <c r="G367" s="16"/>
    </row>
    <row r="368" spans="6:7" ht="50.1" customHeight="1" x14ac:dyDescent="0.15">
      <c r="G368" s="16"/>
    </row>
    <row r="369" spans="7:7" ht="50.1" customHeight="1" x14ac:dyDescent="0.15">
      <c r="G369" s="16"/>
    </row>
    <row r="370" spans="7:7" ht="50.1" customHeight="1" x14ac:dyDescent="0.15">
      <c r="G370" s="16"/>
    </row>
    <row r="371" spans="7:7" ht="50.1" customHeight="1" x14ac:dyDescent="0.15">
      <c r="G371" s="16"/>
    </row>
    <row r="372" spans="7:7" ht="50.1" customHeight="1" x14ac:dyDescent="0.15">
      <c r="G372" s="16"/>
    </row>
    <row r="373" spans="7:7" ht="50.1" customHeight="1" x14ac:dyDescent="0.15">
      <c r="G373" s="16"/>
    </row>
    <row r="374" spans="7:7" ht="50.1" customHeight="1" x14ac:dyDescent="0.15">
      <c r="G374" s="16"/>
    </row>
    <row r="375" spans="7:7" ht="50.1" customHeight="1" x14ac:dyDescent="0.15">
      <c r="G375" s="16"/>
    </row>
    <row r="376" spans="7:7" ht="50.1" customHeight="1" x14ac:dyDescent="0.15">
      <c r="G376" s="16"/>
    </row>
    <row r="377" spans="7:7" ht="50.1" customHeight="1" x14ac:dyDescent="0.15">
      <c r="G377" s="16"/>
    </row>
    <row r="378" spans="7:7" ht="50.1" customHeight="1" x14ac:dyDescent="0.15">
      <c r="G378" s="16"/>
    </row>
    <row r="379" spans="7:7" ht="50.1" customHeight="1" x14ac:dyDescent="0.15">
      <c r="G379" s="16"/>
    </row>
    <row r="380" spans="7:7" ht="50.1" customHeight="1" x14ac:dyDescent="0.15">
      <c r="G380" s="16"/>
    </row>
    <row r="381" spans="7:7" ht="50.1" customHeight="1" x14ac:dyDescent="0.15">
      <c r="G381" s="16"/>
    </row>
    <row r="382" spans="7:7" ht="50.1" customHeight="1" x14ac:dyDescent="0.15">
      <c r="G382" s="16"/>
    </row>
    <row r="383" spans="7:7" ht="50.1" customHeight="1" x14ac:dyDescent="0.15">
      <c r="G383" s="16"/>
    </row>
    <row r="384" spans="7:7" ht="50.1" customHeight="1" x14ac:dyDescent="0.15">
      <c r="G384" s="16"/>
    </row>
    <row r="385" spans="7:7" ht="50.1" customHeight="1" x14ac:dyDescent="0.15">
      <c r="G385" s="16"/>
    </row>
    <row r="386" spans="7:7" ht="50.1" customHeight="1" x14ac:dyDescent="0.15">
      <c r="G386" s="16"/>
    </row>
    <row r="387" spans="7:7" ht="50.1" customHeight="1" x14ac:dyDescent="0.15">
      <c r="G387" s="16"/>
    </row>
    <row r="388" spans="7:7" ht="50.1" customHeight="1" x14ac:dyDescent="0.15">
      <c r="G388" s="16"/>
    </row>
    <row r="389" spans="7:7" ht="50.1" customHeight="1" x14ac:dyDescent="0.15">
      <c r="G389" s="16"/>
    </row>
    <row r="390" spans="7:7" ht="50.1" customHeight="1" x14ac:dyDescent="0.15">
      <c r="G390" s="16"/>
    </row>
    <row r="391" spans="7:7" ht="50.1" customHeight="1" x14ac:dyDescent="0.15">
      <c r="G391" s="16"/>
    </row>
    <row r="392" spans="7:7" ht="50.1" customHeight="1" x14ac:dyDescent="0.15">
      <c r="G392" s="16"/>
    </row>
    <row r="393" spans="7:7" ht="50.1" customHeight="1" x14ac:dyDescent="0.15">
      <c r="G393" s="16"/>
    </row>
    <row r="394" spans="7:7" ht="50.1" customHeight="1" x14ac:dyDescent="0.15">
      <c r="G394" s="16"/>
    </row>
    <row r="395" spans="7:7" ht="50.1" customHeight="1" x14ac:dyDescent="0.15">
      <c r="G395" s="16"/>
    </row>
    <row r="396" spans="7:7" ht="50.1" customHeight="1" x14ac:dyDescent="0.15">
      <c r="G396" s="16"/>
    </row>
    <row r="397" spans="7:7" ht="50.1" customHeight="1" x14ac:dyDescent="0.15">
      <c r="G397" s="16"/>
    </row>
    <row r="398" spans="7:7" ht="50.1" customHeight="1" x14ac:dyDescent="0.15">
      <c r="G398" s="16"/>
    </row>
    <row r="399" spans="7:7" ht="50.1" customHeight="1" x14ac:dyDescent="0.15">
      <c r="G399" s="16"/>
    </row>
    <row r="400" spans="7:7" ht="50.1" customHeight="1" x14ac:dyDescent="0.15">
      <c r="G400" s="16"/>
    </row>
    <row r="401" spans="7:7" ht="50.1" customHeight="1" x14ac:dyDescent="0.15">
      <c r="G401" s="16"/>
    </row>
    <row r="402" spans="7:7" ht="50.1" customHeight="1" x14ac:dyDescent="0.15">
      <c r="G402" s="16"/>
    </row>
    <row r="403" spans="7:7" ht="50.1" customHeight="1" x14ac:dyDescent="0.15">
      <c r="G403" s="16"/>
    </row>
    <row r="404" spans="7:7" ht="50.1" customHeight="1" x14ac:dyDescent="0.15">
      <c r="G404" s="16"/>
    </row>
    <row r="405" spans="7:7" ht="50.1" customHeight="1" x14ac:dyDescent="0.15">
      <c r="G405" s="16"/>
    </row>
    <row r="406" spans="7:7" ht="50.1" customHeight="1" x14ac:dyDescent="0.15">
      <c r="G406" s="16"/>
    </row>
    <row r="407" spans="7:7" ht="50.1" customHeight="1" x14ac:dyDescent="0.15">
      <c r="G407" s="16"/>
    </row>
    <row r="408" spans="7:7" ht="50.1" customHeight="1" x14ac:dyDescent="0.15">
      <c r="G408" s="16"/>
    </row>
    <row r="409" spans="7:7" ht="50.1" customHeight="1" x14ac:dyDescent="0.15">
      <c r="G409" s="16"/>
    </row>
    <row r="410" spans="7:7" ht="50.1" customHeight="1" x14ac:dyDescent="0.15">
      <c r="G410" s="16"/>
    </row>
    <row r="411" spans="7:7" ht="50.1" customHeight="1" x14ac:dyDescent="0.15">
      <c r="G411" s="16"/>
    </row>
    <row r="412" spans="7:7" ht="50.1" customHeight="1" x14ac:dyDescent="0.15">
      <c r="G412" s="16"/>
    </row>
    <row r="413" spans="7:7" ht="50.1" customHeight="1" x14ac:dyDescent="0.15">
      <c r="G413" s="16"/>
    </row>
    <row r="414" spans="7:7" ht="50.1" customHeight="1" x14ac:dyDescent="0.15">
      <c r="G414" s="16"/>
    </row>
    <row r="415" spans="7:7" ht="50.1" customHeight="1" x14ac:dyDescent="0.15">
      <c r="G415" s="16"/>
    </row>
    <row r="416" spans="7:7" ht="50.1" customHeight="1" x14ac:dyDescent="0.15">
      <c r="G416" s="16"/>
    </row>
    <row r="417" spans="7:7" ht="50.1" customHeight="1" x14ac:dyDescent="0.15">
      <c r="G417" s="16"/>
    </row>
    <row r="418" spans="7:7" ht="50.1" customHeight="1" x14ac:dyDescent="0.15">
      <c r="G418" s="16"/>
    </row>
    <row r="419" spans="7:7" ht="50.1" customHeight="1" x14ac:dyDescent="0.15">
      <c r="G419" s="16"/>
    </row>
    <row r="420" spans="7:7" ht="50.1" customHeight="1" x14ac:dyDescent="0.15">
      <c r="G420" s="16"/>
    </row>
    <row r="421" spans="7:7" ht="50.1" customHeight="1" x14ac:dyDescent="0.15">
      <c r="G421" s="16"/>
    </row>
    <row r="422" spans="7:7" ht="50.1" customHeight="1" x14ac:dyDescent="0.15">
      <c r="G422" s="16"/>
    </row>
    <row r="423" spans="7:7" ht="50.1" customHeight="1" x14ac:dyDescent="0.15">
      <c r="G423" s="16"/>
    </row>
    <row r="424" spans="7:7" ht="50.1" customHeight="1" x14ac:dyDescent="0.15">
      <c r="G424" s="16"/>
    </row>
    <row r="425" spans="7:7" ht="50.1" customHeight="1" x14ac:dyDescent="0.15">
      <c r="G425" s="16"/>
    </row>
    <row r="426" spans="7:7" ht="50.1" customHeight="1" x14ac:dyDescent="0.15">
      <c r="G426" s="16"/>
    </row>
    <row r="427" spans="7:7" ht="50.1" customHeight="1" x14ac:dyDescent="0.15">
      <c r="G427" s="16"/>
    </row>
    <row r="428" spans="7:7" ht="50.1" customHeight="1" x14ac:dyDescent="0.15">
      <c r="G428" s="16"/>
    </row>
    <row r="429" spans="7:7" ht="50.1" customHeight="1" x14ac:dyDescent="0.15">
      <c r="G429" s="16"/>
    </row>
    <row r="430" spans="7:7" ht="50.1" customHeight="1" x14ac:dyDescent="0.15">
      <c r="G430" s="16"/>
    </row>
    <row r="431" spans="7:7" ht="50.1" customHeight="1" x14ac:dyDescent="0.15">
      <c r="G431" s="16"/>
    </row>
    <row r="432" spans="7:7" ht="50.1" customHeight="1" x14ac:dyDescent="0.15">
      <c r="G432" s="16"/>
    </row>
    <row r="433" spans="7:7" ht="50.1" customHeight="1" x14ac:dyDescent="0.15">
      <c r="G433" s="16"/>
    </row>
    <row r="434" spans="7:7" ht="50.1" customHeight="1" x14ac:dyDescent="0.15">
      <c r="G434" s="16"/>
    </row>
    <row r="435" spans="7:7" ht="50.1" customHeight="1" x14ac:dyDescent="0.15">
      <c r="G435" s="16"/>
    </row>
    <row r="436" spans="7:7" ht="50.1" customHeight="1" x14ac:dyDescent="0.15">
      <c r="G436" s="16"/>
    </row>
    <row r="437" spans="7:7" ht="50.1" customHeight="1" x14ac:dyDescent="0.15">
      <c r="G437" s="16"/>
    </row>
    <row r="438" spans="7:7" ht="50.1" customHeight="1" x14ac:dyDescent="0.15">
      <c r="G438" s="16"/>
    </row>
    <row r="439" spans="7:7" ht="50.1" customHeight="1" x14ac:dyDescent="0.15">
      <c r="G439" s="16"/>
    </row>
    <row r="440" spans="7:7" ht="50.1" customHeight="1" x14ac:dyDescent="0.15">
      <c r="G440" s="16"/>
    </row>
    <row r="441" spans="7:7" ht="50.1" customHeight="1" x14ac:dyDescent="0.15">
      <c r="G441" s="16"/>
    </row>
    <row r="442" spans="7:7" ht="50.1" customHeight="1" x14ac:dyDescent="0.15">
      <c r="G442" s="16"/>
    </row>
    <row r="443" spans="7:7" ht="50.1" customHeight="1" x14ac:dyDescent="0.15">
      <c r="G443" s="16"/>
    </row>
    <row r="444" spans="7:7" ht="50.1" customHeight="1" x14ac:dyDescent="0.15">
      <c r="G444" s="16"/>
    </row>
    <row r="445" spans="7:7" ht="50.1" customHeight="1" x14ac:dyDescent="0.15">
      <c r="G445" s="16"/>
    </row>
    <row r="446" spans="7:7" ht="50.1" customHeight="1" x14ac:dyDescent="0.15">
      <c r="G446" s="16"/>
    </row>
    <row r="447" spans="7:7" ht="50.1" customHeight="1" x14ac:dyDescent="0.15">
      <c r="G447" s="16"/>
    </row>
    <row r="448" spans="7:7" ht="50.1" customHeight="1" x14ac:dyDescent="0.15">
      <c r="G448" s="16"/>
    </row>
    <row r="449" spans="7:7" ht="50.1" customHeight="1" x14ac:dyDescent="0.15">
      <c r="G449" s="16"/>
    </row>
    <row r="450" spans="7:7" ht="50.1" customHeight="1" x14ac:dyDescent="0.15">
      <c r="G450" s="16"/>
    </row>
    <row r="451" spans="7:7" ht="50.1" customHeight="1" x14ac:dyDescent="0.15">
      <c r="G451" s="16"/>
    </row>
    <row r="452" spans="7:7" ht="50.1" customHeight="1" x14ac:dyDescent="0.15">
      <c r="G452" s="16"/>
    </row>
    <row r="453" spans="7:7" ht="50.1" customHeight="1" x14ac:dyDescent="0.15">
      <c r="G453" s="16"/>
    </row>
    <row r="454" spans="7:7" ht="50.1" customHeight="1" x14ac:dyDescent="0.15">
      <c r="G454" s="16"/>
    </row>
    <row r="455" spans="7:7" ht="50.1" customHeight="1" x14ac:dyDescent="0.15">
      <c r="G455" s="16"/>
    </row>
    <row r="456" spans="7:7" ht="50.1" customHeight="1" x14ac:dyDescent="0.15">
      <c r="G456" s="16"/>
    </row>
    <row r="457" spans="7:7" ht="50.1" customHeight="1" x14ac:dyDescent="0.15">
      <c r="G457" s="16"/>
    </row>
    <row r="458" spans="7:7" ht="50.1" customHeight="1" x14ac:dyDescent="0.15">
      <c r="G458" s="16"/>
    </row>
    <row r="459" spans="7:7" ht="50.1" customHeight="1" x14ac:dyDescent="0.15">
      <c r="G459" s="16"/>
    </row>
    <row r="460" spans="7:7" ht="50.1" customHeight="1" x14ac:dyDescent="0.15">
      <c r="G460" s="16"/>
    </row>
    <row r="461" spans="7:7" ht="50.1" customHeight="1" x14ac:dyDescent="0.15">
      <c r="G461" s="16"/>
    </row>
    <row r="462" spans="7:7" ht="50.1" customHeight="1" x14ac:dyDescent="0.15">
      <c r="G462" s="16"/>
    </row>
    <row r="463" spans="7:7" ht="50.1" customHeight="1" x14ac:dyDescent="0.15">
      <c r="G463" s="16"/>
    </row>
    <row r="464" spans="7:7" ht="50.1" customHeight="1" x14ac:dyDescent="0.15">
      <c r="G464" s="16"/>
    </row>
    <row r="465" spans="6:7" ht="50.1" customHeight="1" x14ac:dyDescent="0.15">
      <c r="G465" s="16"/>
    </row>
    <row r="466" spans="6:7" ht="50.1" customHeight="1" x14ac:dyDescent="0.15">
      <c r="G466" s="16"/>
    </row>
    <row r="467" spans="6:7" ht="50.1" customHeight="1" x14ac:dyDescent="0.15">
      <c r="G467" s="16"/>
    </row>
    <row r="468" spans="6:7" ht="50.1" customHeight="1" x14ac:dyDescent="0.15">
      <c r="G468" s="16"/>
    </row>
    <row r="469" spans="6:7" ht="50.1" customHeight="1" x14ac:dyDescent="0.15">
      <c r="G469" s="16"/>
    </row>
    <row r="470" spans="6:7" ht="50.1" customHeight="1" x14ac:dyDescent="0.15">
      <c r="G470" s="16"/>
    </row>
    <row r="471" spans="6:7" ht="50.1" customHeight="1" x14ac:dyDescent="0.15">
      <c r="G471" s="16"/>
    </row>
    <row r="472" spans="6:7" ht="50.1" customHeight="1" x14ac:dyDescent="0.15">
      <c r="G472" s="16"/>
    </row>
    <row r="473" spans="6:7" ht="50.1" customHeight="1" x14ac:dyDescent="0.15">
      <c r="G473" s="16"/>
    </row>
    <row r="474" spans="6:7" ht="50.1" customHeight="1" x14ac:dyDescent="0.15">
      <c r="G474" s="16"/>
    </row>
    <row r="475" spans="6:7" ht="50.1" customHeight="1" x14ac:dyDescent="0.15">
      <c r="G475" s="16"/>
    </row>
    <row r="476" spans="6:7" ht="50.1" customHeight="1" x14ac:dyDescent="0.15">
      <c r="G476" s="16"/>
    </row>
    <row r="477" spans="6:7" ht="50.1" customHeight="1" x14ac:dyDescent="0.15">
      <c r="G477" s="16"/>
    </row>
    <row r="478" spans="6:7" ht="50.1" customHeight="1" x14ac:dyDescent="0.15">
      <c r="G478" s="16"/>
    </row>
    <row r="479" spans="6:7" ht="50.1" customHeight="1" x14ac:dyDescent="0.15">
      <c r="F479" s="52" t="s">
        <v>31</v>
      </c>
      <c r="G479" s="16"/>
    </row>
    <row r="480" spans="6:7" ht="50.1" customHeight="1" x14ac:dyDescent="0.15">
      <c r="G480" s="16"/>
    </row>
    <row r="481" spans="7:7" ht="50.1" customHeight="1" x14ac:dyDescent="0.15">
      <c r="G481" s="16"/>
    </row>
    <row r="482" spans="7:7" ht="50.1" customHeight="1" x14ac:dyDescent="0.15">
      <c r="G482" s="16"/>
    </row>
    <row r="483" spans="7:7" ht="50.1" customHeight="1" x14ac:dyDescent="0.15">
      <c r="G483" s="16"/>
    </row>
    <row r="484" spans="7:7" ht="50.1" customHeight="1" x14ac:dyDescent="0.15">
      <c r="G484" s="16"/>
    </row>
    <row r="485" spans="7:7" ht="50.1" customHeight="1" x14ac:dyDescent="0.15">
      <c r="G485" s="16"/>
    </row>
    <row r="486" spans="7:7" ht="50.1" customHeight="1" x14ac:dyDescent="0.15">
      <c r="G486" s="16"/>
    </row>
    <row r="487" spans="7:7" ht="50.1" customHeight="1" x14ac:dyDescent="0.15">
      <c r="G487" s="16"/>
    </row>
    <row r="488" spans="7:7" ht="50.1" customHeight="1" x14ac:dyDescent="0.15">
      <c r="G488" s="16"/>
    </row>
    <row r="489" spans="7:7" ht="50.1" customHeight="1" x14ac:dyDescent="0.15">
      <c r="G489" s="16"/>
    </row>
    <row r="490" spans="7:7" ht="50.1" customHeight="1" x14ac:dyDescent="0.15">
      <c r="G490" s="16"/>
    </row>
    <row r="491" spans="7:7" ht="50.1" customHeight="1" x14ac:dyDescent="0.15">
      <c r="G491" s="16"/>
    </row>
    <row r="492" spans="7:7" ht="50.1" customHeight="1" x14ac:dyDescent="0.15">
      <c r="G492" s="16"/>
    </row>
    <row r="493" spans="7:7" ht="50.1" customHeight="1" x14ac:dyDescent="0.15">
      <c r="G493" s="16"/>
    </row>
    <row r="494" spans="7:7" ht="50.1" customHeight="1" x14ac:dyDescent="0.15">
      <c r="G494" s="16"/>
    </row>
    <row r="495" spans="7:7" ht="50.1" customHeight="1" x14ac:dyDescent="0.15">
      <c r="G495" s="16"/>
    </row>
    <row r="496" spans="7:7" ht="50.1" customHeight="1" x14ac:dyDescent="0.15">
      <c r="G496" s="16"/>
    </row>
    <row r="497" spans="7:7" ht="50.1" customHeight="1" x14ac:dyDescent="0.15">
      <c r="G497" s="16"/>
    </row>
    <row r="498" spans="7:7" ht="50.1" customHeight="1" x14ac:dyDescent="0.15">
      <c r="G498" s="16"/>
    </row>
    <row r="499" spans="7:7" ht="50.1" customHeight="1" x14ac:dyDescent="0.15">
      <c r="G499" s="16"/>
    </row>
    <row r="500" spans="7:7" ht="50.1" customHeight="1" x14ac:dyDescent="0.15">
      <c r="G500" s="16"/>
    </row>
    <row r="501" spans="7:7" ht="50.1" customHeight="1" x14ac:dyDescent="0.15">
      <c r="G501" s="16"/>
    </row>
    <row r="502" spans="7:7" ht="50.1" customHeight="1" x14ac:dyDescent="0.15">
      <c r="G502" s="16"/>
    </row>
    <row r="503" spans="7:7" ht="50.1" customHeight="1" x14ac:dyDescent="0.15">
      <c r="G503" s="16"/>
    </row>
    <row r="504" spans="7:7" ht="50.1" customHeight="1" x14ac:dyDescent="0.15">
      <c r="G504" s="16"/>
    </row>
    <row r="505" spans="7:7" ht="50.1" customHeight="1" x14ac:dyDescent="0.15">
      <c r="G505" s="16"/>
    </row>
    <row r="506" spans="7:7" ht="50.1" customHeight="1" x14ac:dyDescent="0.15">
      <c r="G506" s="16"/>
    </row>
    <row r="507" spans="7:7" ht="50.1" customHeight="1" x14ac:dyDescent="0.15">
      <c r="G507" s="16"/>
    </row>
    <row r="508" spans="7:7" ht="50.1" customHeight="1" x14ac:dyDescent="0.15">
      <c r="G508" s="16"/>
    </row>
    <row r="509" spans="7:7" ht="50.1" customHeight="1" x14ac:dyDescent="0.15">
      <c r="G509" s="16"/>
    </row>
    <row r="510" spans="7:7" ht="50.1" customHeight="1" x14ac:dyDescent="0.15">
      <c r="G510" s="16"/>
    </row>
    <row r="511" spans="7:7" ht="50.1" customHeight="1" x14ac:dyDescent="0.15">
      <c r="G511" s="16"/>
    </row>
    <row r="512" spans="7:7" ht="50.1" customHeight="1" x14ac:dyDescent="0.15">
      <c r="G512" s="16"/>
    </row>
    <row r="513" spans="1:7" ht="50.1" customHeight="1" x14ac:dyDescent="0.15">
      <c r="G513" s="16"/>
    </row>
    <row r="514" spans="1:7" ht="50.1" customHeight="1" x14ac:dyDescent="0.15">
      <c r="G514" s="16"/>
    </row>
    <row r="515" spans="1:7" ht="50.1" customHeight="1" x14ac:dyDescent="0.15">
      <c r="G515" s="16"/>
    </row>
    <row r="516" spans="1:7" ht="50.1" customHeight="1" x14ac:dyDescent="0.15">
      <c r="G516" s="16"/>
    </row>
    <row r="517" spans="1:7" ht="50.1" customHeight="1" x14ac:dyDescent="0.15">
      <c r="G517" s="16"/>
    </row>
    <row r="518" spans="1:7" ht="50.1" customHeight="1" x14ac:dyDescent="0.15">
      <c r="G518" s="16"/>
    </row>
    <row r="519" spans="1:7" s="2" customFormat="1" ht="50.1" customHeight="1" x14ac:dyDescent="0.15">
      <c r="A519" s="49"/>
      <c r="B519" s="49"/>
      <c r="D519" s="15"/>
      <c r="E519" s="3"/>
      <c r="F519" s="52"/>
      <c r="G519" s="16"/>
    </row>
    <row r="520" spans="1:7" ht="50.1" customHeight="1" x14ac:dyDescent="0.15">
      <c r="G520" s="16"/>
    </row>
    <row r="521" spans="1:7" ht="50.1" customHeight="1" x14ac:dyDescent="0.15">
      <c r="G521" s="16"/>
    </row>
    <row r="522" spans="1:7" ht="50.1" customHeight="1" x14ac:dyDescent="0.15">
      <c r="G522" s="16"/>
    </row>
    <row r="523" spans="1:7" ht="50.1" customHeight="1" x14ac:dyDescent="0.15">
      <c r="G523" s="16"/>
    </row>
    <row r="524" spans="1:7" ht="50.1" customHeight="1" x14ac:dyDescent="0.15">
      <c r="G524" s="16"/>
    </row>
    <row r="525" spans="1:7" ht="50.1" customHeight="1" x14ac:dyDescent="0.15">
      <c r="G525" s="16"/>
    </row>
    <row r="526" spans="1:7" ht="50.1" customHeight="1" x14ac:dyDescent="0.15">
      <c r="G526" s="16"/>
    </row>
    <row r="527" spans="1:7" ht="50.1" customHeight="1" x14ac:dyDescent="0.15">
      <c r="G527" s="16"/>
    </row>
    <row r="528" spans="1:7" ht="50.1" customHeight="1" x14ac:dyDescent="0.15">
      <c r="G528" s="16"/>
    </row>
    <row r="529" spans="7:7" ht="50.1" customHeight="1" x14ac:dyDescent="0.15">
      <c r="G529" s="16"/>
    </row>
    <row r="530" spans="7:7" ht="50.1" customHeight="1" x14ac:dyDescent="0.15">
      <c r="G530" s="16"/>
    </row>
    <row r="531" spans="7:7" ht="50.1" customHeight="1" x14ac:dyDescent="0.15">
      <c r="G531" s="16"/>
    </row>
    <row r="532" spans="7:7" ht="50.1" customHeight="1" x14ac:dyDescent="0.15">
      <c r="G532" s="16"/>
    </row>
    <row r="533" spans="7:7" ht="50.1" customHeight="1" x14ac:dyDescent="0.15">
      <c r="G533" s="16"/>
    </row>
    <row r="534" spans="7:7" ht="50.1" customHeight="1" x14ac:dyDescent="0.15">
      <c r="G534" s="16"/>
    </row>
    <row r="535" spans="7:7" ht="50.1" customHeight="1" x14ac:dyDescent="0.15">
      <c r="G535" s="16"/>
    </row>
    <row r="536" spans="7:7" ht="50.1" customHeight="1" x14ac:dyDescent="0.15">
      <c r="G536" s="16"/>
    </row>
    <row r="537" spans="7:7" ht="50.1" customHeight="1" x14ac:dyDescent="0.15">
      <c r="G537" s="16"/>
    </row>
    <row r="538" spans="7:7" ht="50.1" customHeight="1" x14ac:dyDescent="0.15">
      <c r="G538" s="16"/>
    </row>
    <row r="539" spans="7:7" ht="50.1" customHeight="1" x14ac:dyDescent="0.15">
      <c r="G539" s="16"/>
    </row>
    <row r="540" spans="7:7" ht="50.1" customHeight="1" x14ac:dyDescent="0.15">
      <c r="G540" s="16"/>
    </row>
    <row r="541" spans="7:7" ht="50.1" customHeight="1" x14ac:dyDescent="0.15">
      <c r="G541" s="16"/>
    </row>
    <row r="542" spans="7:7" ht="50.1" customHeight="1" x14ac:dyDescent="0.15">
      <c r="G542" s="16"/>
    </row>
    <row r="543" spans="7:7" ht="50.1" customHeight="1" x14ac:dyDescent="0.15">
      <c r="G543" s="16"/>
    </row>
    <row r="544" spans="7:7" ht="50.1" customHeight="1" x14ac:dyDescent="0.15">
      <c r="G544" s="16"/>
    </row>
    <row r="545" spans="7:7" ht="50.1" customHeight="1" x14ac:dyDescent="0.15">
      <c r="G545" s="16"/>
    </row>
    <row r="546" spans="7:7" ht="50.1" customHeight="1" x14ac:dyDescent="0.15">
      <c r="G546" s="16"/>
    </row>
    <row r="547" spans="7:7" ht="50.1" customHeight="1" x14ac:dyDescent="0.15">
      <c r="G547" s="16"/>
    </row>
    <row r="548" spans="7:7" ht="50.1" customHeight="1" x14ac:dyDescent="0.15">
      <c r="G548" s="16"/>
    </row>
    <row r="549" spans="7:7" ht="50.1" customHeight="1" x14ac:dyDescent="0.15">
      <c r="G549" s="16"/>
    </row>
    <row r="550" spans="7:7" ht="50.1" customHeight="1" x14ac:dyDescent="0.15">
      <c r="G550" s="16"/>
    </row>
    <row r="551" spans="7:7" ht="50.1" customHeight="1" x14ac:dyDescent="0.15">
      <c r="G551" s="16"/>
    </row>
    <row r="552" spans="7:7" ht="50.1" customHeight="1" x14ac:dyDescent="0.15">
      <c r="G552" s="16"/>
    </row>
    <row r="553" spans="7:7" ht="50.1" customHeight="1" x14ac:dyDescent="0.15">
      <c r="G553" s="16"/>
    </row>
    <row r="554" spans="7:7" ht="50.1" customHeight="1" x14ac:dyDescent="0.15">
      <c r="G554" s="16"/>
    </row>
    <row r="555" spans="7:7" ht="50.1" customHeight="1" x14ac:dyDescent="0.15">
      <c r="G555" s="16"/>
    </row>
    <row r="556" spans="7:7" ht="50.1" customHeight="1" x14ac:dyDescent="0.15">
      <c r="G556" s="16"/>
    </row>
    <row r="557" spans="7:7" ht="50.1" customHeight="1" x14ac:dyDescent="0.15">
      <c r="G557" s="16"/>
    </row>
    <row r="558" spans="7:7" ht="50.1" customHeight="1" x14ac:dyDescent="0.15">
      <c r="G558" s="16"/>
    </row>
    <row r="559" spans="7:7" ht="50.1" customHeight="1" x14ac:dyDescent="0.15">
      <c r="G559" s="16"/>
    </row>
    <row r="560" spans="7:7" ht="50.1" customHeight="1" x14ac:dyDescent="0.15">
      <c r="G560" s="16"/>
    </row>
    <row r="561" spans="6:7" ht="50.1" customHeight="1" x14ac:dyDescent="0.15">
      <c r="G561" s="16"/>
    </row>
    <row r="562" spans="6:7" ht="50.1" customHeight="1" x14ac:dyDescent="0.15">
      <c r="G562" s="16"/>
    </row>
    <row r="563" spans="6:7" ht="50.1" customHeight="1" x14ac:dyDescent="0.15">
      <c r="G563" s="16"/>
    </row>
    <row r="564" spans="6:7" ht="50.1" customHeight="1" x14ac:dyDescent="0.15">
      <c r="F564" s="52" t="s">
        <v>22</v>
      </c>
      <c r="G564" s="16"/>
    </row>
    <row r="565" spans="6:7" ht="50.1" customHeight="1" x14ac:dyDescent="0.15">
      <c r="G565" s="16"/>
    </row>
    <row r="566" spans="6:7" ht="50.1" customHeight="1" x14ac:dyDescent="0.15">
      <c r="G566" s="16"/>
    </row>
    <row r="567" spans="6:7" ht="50.1" customHeight="1" x14ac:dyDescent="0.15">
      <c r="G567" s="16"/>
    </row>
    <row r="568" spans="6:7" ht="50.1" customHeight="1" x14ac:dyDescent="0.15">
      <c r="G568" s="16"/>
    </row>
    <row r="569" spans="6:7" ht="50.1" customHeight="1" x14ac:dyDescent="0.15">
      <c r="G569" s="16"/>
    </row>
    <row r="570" spans="6:7" ht="50.1" customHeight="1" x14ac:dyDescent="0.15">
      <c r="F570" s="52" t="s">
        <v>23</v>
      </c>
      <c r="G570" s="16"/>
    </row>
    <row r="571" spans="6:7" ht="50.1" customHeight="1" x14ac:dyDescent="0.15">
      <c r="F571" s="52" t="s">
        <v>24</v>
      </c>
      <c r="G571" s="16"/>
    </row>
  </sheetData>
  <phoneticPr fontId="1" type="noConversion"/>
  <pageMargins left="0.75" right="0.75" top="1" bottom="1" header="0.51111111111111107" footer="0.51111111111111107"/>
  <pageSetup paperSize="9" firstPageNumber="4294963191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157255200</TotalTime>
  <Pages>0</Pages>
  <Words>0</Words>
  <Characters>0</Characters>
  <Application>Microsoft Excel</Application>
  <DocSecurity>0</DocSecurity>
  <PresentationFormat/>
  <Lines>0</Lines>
  <Paragraphs>0</Paragraphs>
  <Slides>0</Slides>
  <Notes>0</Notes>
  <HiddenSlides>0</HiddenSlides>
  <MMClips>0</MMClips>
  <ScaleCrop>false</ScaleCrop>
  <HeadingPairs>
    <vt:vector size="4" baseType="variant">
      <vt:variant>
        <vt:lpstr>工作表</vt:lpstr>
      </vt:variant>
      <vt:variant>
        <vt:i4>7</vt:i4>
      </vt:variant>
      <vt:variant>
        <vt:lpstr>图表</vt:lpstr>
      </vt:variant>
      <vt:variant>
        <vt:i4>1</vt:i4>
      </vt:variant>
    </vt:vector>
  </HeadingPairs>
  <TitlesOfParts>
    <vt:vector size="8" baseType="lpstr">
      <vt:lpstr>Overview</vt:lpstr>
      <vt:lpstr>Sheet1</vt:lpstr>
      <vt:lpstr>Sheet2</vt:lpstr>
      <vt:lpstr>Sheet3</vt:lpstr>
      <vt:lpstr>Sheet4</vt:lpstr>
      <vt:lpstr>Sheet5</vt:lpstr>
      <vt:lpstr>Sheet6</vt:lpstr>
      <vt:lpstr>Chart1</vt:lpstr>
    </vt:vector>
  </TitlesOfParts>
  <LinksUpToDate>false</LinksUpToDate>
  <CharactersWithSpaces>0</CharactersWithSpaces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周宇杰</cp:lastModifiedBy>
  <cp:revision/>
  <cp:lastPrinted>2012-10-09T04:22:39Z</cp:lastPrinted>
  <dcterms:created xsi:type="dcterms:W3CDTF">2012-04-07T21:15:57Z</dcterms:created>
  <dcterms:modified xsi:type="dcterms:W3CDTF">2019-07-04T14:46:29Z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2052-8.1.0.2998</vt:lpwstr>
  </property>
</Properties>
</file>